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OmogeneitàMagnete" sheetId="1" r:id="rId5"/>
    <sheet state="visible" name="1_TaraturaMagnete" sheetId="2" r:id="rId6"/>
    <sheet state="visible" name="2_ZeemanTrasversale" sheetId="3" r:id="rId7"/>
    <sheet state="visible" name="3_ZeemanLongitudinale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tc={547b3408-3000-48cb-868a-42274bc8bf2e}</author>
  </authors>
  <commentList>
    <comment authorId="0" xr:uid="{547b3408-3000-48cb-868a-42274bc8bf2e}" ref="P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semidispersione massima
</t>
      </text>
    </comment>
  </commentList>
</comments>
</file>

<file path=xl/sharedStrings.xml><?xml version="1.0" encoding="utf-8"?>
<sst xmlns="http://schemas.openxmlformats.org/spreadsheetml/2006/main" count="280" uniqueCount="155">
  <si>
    <t>Direzione</t>
  </si>
  <si>
    <t>scostamento [mm]</t>
  </si>
  <si>
    <t>i [A]</t>
  </si>
  <si>
    <t>err i (oscill)</t>
  </si>
  <si>
    <t>B (i) [mT]</t>
  </si>
  <si>
    <t>err B (oscill)</t>
  </si>
  <si>
    <t>asse centrale</t>
  </si>
  <si>
    <t>&lt;--</t>
  </si>
  <si>
    <t>errori usati inizialmente in lab.</t>
  </si>
  <si>
    <t>Piano perpendicolare</t>
  </si>
  <si>
    <t>orizzontale dx</t>
  </si>
  <si>
    <t>orizzontale sx</t>
  </si>
  <si>
    <t>errore amperometro</t>
  </si>
  <si>
    <t>verticale up</t>
  </si>
  <si>
    <t>3% + 10cf</t>
  </si>
  <si>
    <t>verticale down</t>
  </si>
  <si>
    <t>errore teslametro</t>
  </si>
  <si>
    <t>Piano parallelo</t>
  </si>
  <si>
    <t>5% + 10cf</t>
  </si>
  <si>
    <t>avanti</t>
  </si>
  <si>
    <t>indietro</t>
  </si>
  <si>
    <t>piu o meno</t>
  </si>
  <si>
    <t>B massimo</t>
  </si>
  <si>
    <t>Semidispesione massima su B</t>
  </si>
  <si>
    <t>B centrale</t>
  </si>
  <si>
    <t>errore posiz</t>
  </si>
  <si>
    <t>Rampa 1 - salita</t>
  </si>
  <si>
    <t>Rampa 2 - discesa</t>
  </si>
  <si>
    <t>Rampa 3 - salita</t>
  </si>
  <si>
    <t>Rampa 4 - discesa</t>
  </si>
  <si>
    <t xml:space="preserve">i_1 </t>
  </si>
  <si>
    <t>ei_1</t>
  </si>
  <si>
    <t>B_1</t>
  </si>
  <si>
    <t>eB_1</t>
  </si>
  <si>
    <t xml:space="preserve">i_2 </t>
  </si>
  <si>
    <t>ei_2</t>
  </si>
  <si>
    <t>B_2</t>
  </si>
  <si>
    <t>eB_2</t>
  </si>
  <si>
    <t xml:space="preserve">i_3 </t>
  </si>
  <si>
    <t>ei_3</t>
  </si>
  <si>
    <t>B_3</t>
  </si>
  <si>
    <t>eB_3</t>
  </si>
  <si>
    <t xml:space="preserve">i_4 </t>
  </si>
  <si>
    <t>ei_4</t>
  </si>
  <si>
    <t>B_4</t>
  </si>
  <si>
    <t>eB_4</t>
  </si>
  <si>
    <t>Dopo il fit</t>
  </si>
  <si>
    <t>rampa</t>
  </si>
  <si>
    <t>m</t>
  </si>
  <si>
    <t>err m</t>
  </si>
  <si>
    <t>pesi</t>
  </si>
  <si>
    <t>q</t>
  </si>
  <si>
    <t>err q</t>
  </si>
  <si>
    <t>chi2</t>
  </si>
  <si>
    <t>-</t>
  </si>
  <si>
    <t>media pesata</t>
  </si>
  <si>
    <t>media</t>
  </si>
  <si>
    <t>Z_12</t>
  </si>
  <si>
    <t>Z_13</t>
  </si>
  <si>
    <t>Z_14</t>
  </si>
  <si>
    <t>Z_23</t>
  </si>
  <si>
    <t>Z_24</t>
  </si>
  <si>
    <t>Z_34</t>
  </si>
  <si>
    <t>ei  [A]</t>
  </si>
  <si>
    <t>B [mT]</t>
  </si>
  <si>
    <t>eB [mT]</t>
  </si>
  <si>
    <t>B [T]</t>
  </si>
  <si>
    <t>eB [T]</t>
  </si>
  <si>
    <t>N° Ordine</t>
  </si>
  <si>
    <t>A_a</t>
  </si>
  <si>
    <t>A_b</t>
  </si>
  <si>
    <t>A_c</t>
  </si>
  <si>
    <t>δ_ab</t>
  </si>
  <si>
    <t>δ_bc</t>
  </si>
  <si>
    <t>&lt;δ_ab&gt;</t>
  </si>
  <si>
    <t>e&lt;δ_ab&gt;</t>
  </si>
  <si>
    <t>&lt;δ_bc&gt;</t>
  </si>
  <si>
    <t>e&lt;δ_bc&gt;</t>
  </si>
  <si>
    <t xml:space="preserve">sopra Δ_12       sotto Δ_23 </t>
  </si>
  <si>
    <t>&lt;Δ_12&gt;</t>
  </si>
  <si>
    <t>e&lt;Δ_12&gt;</t>
  </si>
  <si>
    <t>&lt;Δ_23&gt;</t>
  </si>
  <si>
    <t>e&lt;Δ_23&gt;</t>
  </si>
  <si>
    <t>&lt;δ_ab&gt;/&lt;Δ_12&gt;</t>
  </si>
  <si>
    <t>e&lt;δ_ab&gt;/&lt;Δ_12&gt;</t>
  </si>
  <si>
    <t>&lt;δ_ab&gt;/&lt;Δ_23&gt;</t>
  </si>
  <si>
    <t>e&lt;δ_ab&gt;/&lt;Δ_23&gt;</t>
  </si>
  <si>
    <t>&lt;δ_bc&gt;/&lt;Δ_12&gt;</t>
  </si>
  <si>
    <t>e&lt;δ_bc&gt;/&lt;Δ_12&gt;</t>
  </si>
  <si>
    <t>&lt;δ_bc&gt;/&lt;Δ_23&gt;</t>
  </si>
  <si>
    <t>e&lt;δ_bc&gt;/&lt;Δ_23&gt;</t>
  </si>
  <si>
    <t>1°</t>
  </si>
  <si>
    <t>2°</t>
  </si>
  <si>
    <t>3°</t>
  </si>
  <si>
    <t>Dati per analsi dati</t>
  </si>
  <si>
    <t>B</t>
  </si>
  <si>
    <t>eB</t>
  </si>
  <si>
    <t>dDab12</t>
  </si>
  <si>
    <t>edDab12</t>
  </si>
  <si>
    <t>dDab23</t>
  </si>
  <si>
    <t>edDab23</t>
  </si>
  <si>
    <t>dDbc12</t>
  </si>
  <si>
    <t>edDbc12</t>
  </si>
  <si>
    <t>dDbc23</t>
  </si>
  <si>
    <t>edDbc23</t>
  </si>
  <si>
    <t>Magnetone di Bohr (teorico)</t>
  </si>
  <si>
    <t>Fit dDab12</t>
  </si>
  <si>
    <t>Fit dDab23</t>
  </si>
  <si>
    <t>Fit dDbc12</t>
  </si>
  <si>
    <t>Fit dDbc23</t>
  </si>
  <si>
    <t>p0</t>
  </si>
  <si>
    <t>e_p0</t>
  </si>
  <si>
    <t>p1</t>
  </si>
  <si>
    <t>e_p1</t>
  </si>
  <si>
    <t>μ_b</t>
  </si>
  <si>
    <t>e μ_b</t>
  </si>
  <si>
    <t>Test Z - dDab12</t>
  </si>
  <si>
    <t>Test Z - dDab23</t>
  </si>
  <si>
    <t>Test Z - dDbc12</t>
  </si>
  <si>
    <t>Test Z - dDbc23</t>
  </si>
  <si>
    <t>Z_value</t>
  </si>
  <si>
    <t>i  [A]</t>
  </si>
  <si>
    <t>ei  [A]</t>
  </si>
  <si>
    <t>B  [mT]</t>
  </si>
  <si>
    <t>eB  [mT]</t>
  </si>
  <si>
    <t>B  [T]</t>
  </si>
  <si>
    <t>eB  [T]</t>
  </si>
  <si>
    <t>δ</t>
  </si>
  <si>
    <t>&lt;δ&gt;</t>
  </si>
  <si>
    <t>e&lt;δ&gt;</t>
  </si>
  <si>
    <t>Δ_aa</t>
  </si>
  <si>
    <t>Δ_bb</t>
  </si>
  <si>
    <t>&lt;Δ&gt;</t>
  </si>
  <si>
    <t>e&lt;Δ&gt;</t>
  </si>
  <si>
    <t>&lt;δ&gt;/&lt;Δ&gt;</t>
  </si>
  <si>
    <t>e&lt; δ/Δ &gt;</t>
  </si>
  <si>
    <t>r_a</t>
  </si>
  <si>
    <t>r_b</t>
  </si>
  <si>
    <t>r_a^2</t>
  </si>
  <si>
    <t>r_b^2</t>
  </si>
  <si>
    <t xml:space="preserve">Dati per analsi dati </t>
  </si>
  <si>
    <t>dD_aree</t>
  </si>
  <si>
    <t>edD_aree</t>
  </si>
  <si>
    <t>dD_raggi</t>
  </si>
  <si>
    <t>edD_raggi</t>
  </si>
  <si>
    <t>Cose di Anna qua sotto le ho spostate avevo paura di fare casino</t>
  </si>
  <si>
    <t>1° ordine</t>
  </si>
  <si>
    <t xml:space="preserve">δ/Δ </t>
  </si>
  <si>
    <t>i</t>
  </si>
  <si>
    <t>err i</t>
  </si>
  <si>
    <t>err B</t>
  </si>
  <si>
    <t>2° ordine</t>
  </si>
  <si>
    <t>b pendenza</t>
  </si>
  <si>
    <t>stima di μ</t>
  </si>
  <si>
    <t>errore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</si>
</sst>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00"/>
    <numFmt numFmtId="166" formatCode="0.00000"/>
    <numFmt numFmtId="167" formatCode="0.00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/>
    <font>
      <b/>
      <color rgb="FF0000FF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  <font>
      <b/>
      <i/>
      <color theme="1"/>
      <name val="Arial"/>
      <scheme val="minor"/>
    </font>
    <font>
      <b/>
      <color rgb="FFA61C00"/>
      <name val="Arial"/>
      <scheme val="minor"/>
    </font>
    <font>
      <b/>
      <strike/>
      <color rgb="FFA61C00"/>
      <name val="Arial"/>
      <scheme val="minor"/>
    </font>
    <font>
      <b/>
      <strike/>
      <color theme="1"/>
      <name val="Arial"/>
      <scheme val="minor"/>
    </font>
    <font>
      <color theme="1"/>
      <name val="Arial"/>
    </font>
    <font>
      <b/>
      <i/>
      <color rgb="FF980000"/>
      <name val="Arial"/>
      <scheme val="minor"/>
    </font>
    <font>
      <b/>
      <color rgb="FFFF0000"/>
      <name val="Arial"/>
      <scheme val="minor"/>
    </font>
    <font>
      <b/>
      <color rgb="FFA64D79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1" numFmtId="0" xfId="0" applyBorder="1" applyFont="1"/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/>
    </xf>
    <xf borderId="2" fillId="4" fontId="3" numFmtId="0" xfId="0" applyAlignment="1" applyBorder="1" applyFill="1" applyFont="1">
      <alignment horizontal="center" readingOrder="0"/>
    </xf>
    <xf borderId="2" fillId="5" fontId="3" numFmtId="0" xfId="0" applyAlignment="1" applyBorder="1" applyFill="1" applyFont="1">
      <alignment horizontal="center" readingOrder="0"/>
    </xf>
    <xf borderId="5" fillId="2" fontId="5" numFmtId="0" xfId="0" applyAlignment="1" applyBorder="1" applyFont="1">
      <alignment readingOrder="0"/>
    </xf>
    <xf borderId="0" fillId="0" fontId="6" numFmtId="0" xfId="0" applyFont="1"/>
    <xf borderId="5" fillId="3" fontId="5" numFmtId="0" xfId="0" applyAlignment="1" applyBorder="1" applyFont="1">
      <alignment readingOrder="0"/>
    </xf>
    <xf borderId="5" fillId="4" fontId="5" numFmtId="0" xfId="0" applyAlignment="1" applyBorder="1" applyFont="1">
      <alignment readingOrder="0"/>
    </xf>
    <xf borderId="5" fillId="5" fontId="5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 vertical="center"/>
    </xf>
    <xf borderId="6" fillId="0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2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6" fontId="8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165" xfId="0" applyAlignment="1" applyBorder="1" applyFont="1" applyNumberFormat="1">
      <alignment horizontal="center" vertical="center"/>
    </xf>
    <xf borderId="6" fillId="0" fontId="1" numFmtId="165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4" fillId="0" fontId="3" numFmtId="2" xfId="0" applyAlignment="1" applyBorder="1" applyFont="1" applyNumberFormat="1">
      <alignment horizontal="center" vertical="center"/>
    </xf>
    <xf borderId="2" fillId="0" fontId="3" numFmtId="2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0" fontId="1" numFmtId="0" xfId="0" applyBorder="1" applyFont="1"/>
    <xf borderId="5" fillId="0" fontId="10" numFmtId="0" xfId="0" applyAlignment="1" applyBorder="1" applyFont="1">
      <alignment horizontal="center" readingOrder="0" vertical="center"/>
    </xf>
    <xf borderId="4" fillId="0" fontId="11" numFmtId="2" xfId="0" applyAlignment="1" applyBorder="1" applyFont="1" applyNumberFormat="1">
      <alignment horizontal="center" vertical="center"/>
    </xf>
    <xf borderId="3" fillId="0" fontId="11" numFmtId="2" xfId="0" applyAlignment="1" applyBorder="1" applyFont="1" applyNumberFormat="1">
      <alignment horizontal="center" vertical="center"/>
    </xf>
    <xf borderId="6" fillId="0" fontId="4" numFmtId="0" xfId="0" applyBorder="1" applyFont="1"/>
    <xf borderId="2" fillId="0" fontId="11" numFmtId="2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2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right" readingOrder="0"/>
    </xf>
    <xf borderId="8" fillId="0" fontId="5" numFmtId="0" xfId="0" applyAlignment="1" applyBorder="1" applyFont="1">
      <alignment horizontal="right" readingOrder="0"/>
    </xf>
    <xf borderId="8" fillId="5" fontId="5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8" fillId="4" fontId="5" numFmtId="0" xfId="0" applyAlignment="1" applyBorder="1" applyFont="1">
      <alignment horizontal="center" readingOrder="0"/>
    </xf>
    <xf borderId="9" fillId="4" fontId="5" numFmtId="0" xfId="0" applyAlignment="1" applyBorder="1" applyFont="1">
      <alignment horizontal="center" readingOrder="0"/>
    </xf>
    <xf borderId="10" fillId="3" fontId="5" numFmtId="0" xfId="0" applyAlignment="1" applyBorder="1" applyFont="1">
      <alignment horizontal="center" readingOrder="0" vertical="center"/>
    </xf>
    <xf borderId="11" fillId="7" fontId="1" numFmtId="2" xfId="0" applyAlignment="1" applyBorder="1" applyFill="1" applyFont="1" applyNumberFormat="1">
      <alignment horizontal="right" readingOrder="0" vertical="center"/>
    </xf>
    <xf borderId="6" fillId="7" fontId="1" numFmtId="2" xfId="0" applyAlignment="1" applyBorder="1" applyFont="1" applyNumberFormat="1">
      <alignment horizontal="right" vertical="center"/>
    </xf>
    <xf borderId="12" fillId="0" fontId="1" numFmtId="2" xfId="0" applyBorder="1" applyFont="1" applyNumberFormat="1"/>
    <xf borderId="12" fillId="0" fontId="1" numFmtId="166" xfId="0" applyBorder="1" applyFont="1" applyNumberFormat="1"/>
    <xf borderId="6" fillId="0" fontId="1" numFmtId="0" xfId="0" applyAlignment="1" applyBorder="1" applyFont="1">
      <alignment horizontal="right" readingOrder="0" vertical="center"/>
    </xf>
    <xf borderId="8" fillId="0" fontId="1" numFmtId="0" xfId="0" applyAlignment="1" applyBorder="1" applyFont="1">
      <alignment horizontal="right" readingOrder="0" vertical="center"/>
    </xf>
    <xf borderId="5" fillId="0" fontId="1" numFmtId="0" xfId="0" applyAlignment="1" applyBorder="1" applyFont="1">
      <alignment horizontal="right" readingOrder="0" vertical="center"/>
    </xf>
    <xf borderId="11" fillId="7" fontId="1" numFmtId="0" xfId="0" applyBorder="1" applyFont="1"/>
    <xf borderId="6" fillId="7" fontId="1" numFmtId="0" xfId="0" applyBorder="1" applyFont="1"/>
    <xf borderId="6" fillId="0" fontId="1" numFmtId="0" xfId="0" applyBorder="1" applyFont="1"/>
    <xf borderId="6" fillId="0" fontId="1" numFmtId="2" xfId="0" applyBorder="1" applyFont="1" applyNumberFormat="1"/>
    <xf borderId="6" fillId="0" fontId="1" numFmtId="166" xfId="0" applyBorder="1" applyFont="1" applyNumberFormat="1"/>
    <xf borderId="13" fillId="7" fontId="1" numFmtId="2" xfId="0" applyAlignment="1" applyBorder="1" applyFont="1" applyNumberFormat="1">
      <alignment horizontal="right" readingOrder="0" vertical="center"/>
    </xf>
    <xf borderId="7" fillId="7" fontId="1" numFmtId="2" xfId="0" applyAlignment="1" applyBorder="1" applyFont="1" applyNumberFormat="1">
      <alignment horizontal="right" vertical="center"/>
    </xf>
    <xf borderId="14" fillId="0" fontId="1" numFmtId="2" xfId="0" applyBorder="1" applyFont="1" applyNumberFormat="1"/>
    <xf borderId="7" fillId="0" fontId="1" numFmtId="2" xfId="0" applyBorder="1" applyFont="1" applyNumberFormat="1"/>
    <xf borderId="14" fillId="0" fontId="1" numFmtId="166" xfId="0" applyBorder="1" applyFont="1" applyNumberFormat="1"/>
    <xf borderId="7" fillId="6" fontId="1" numFmtId="164" xfId="0" applyAlignment="1" applyBorder="1" applyFont="1" applyNumberFormat="1">
      <alignment horizontal="right" readingOrder="0" vertical="center"/>
    </xf>
    <xf borderId="13" fillId="6" fontId="12" numFmtId="164" xfId="0" applyAlignment="1" applyBorder="1" applyFont="1" applyNumberFormat="1">
      <alignment horizontal="right"/>
    </xf>
    <xf borderId="7" fillId="6" fontId="12" numFmtId="164" xfId="0" applyAlignment="1" applyBorder="1" applyFont="1" applyNumberFormat="1">
      <alignment horizontal="right"/>
    </xf>
    <xf borderId="14" fillId="6" fontId="12" numFmtId="164" xfId="0" applyAlignment="1" applyBorder="1" applyFont="1" applyNumberFormat="1">
      <alignment horizontal="right" vertical="bottom"/>
    </xf>
    <xf borderId="4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/>
    </xf>
    <xf borderId="2" fillId="0" fontId="1" numFmtId="2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/>
    </xf>
    <xf borderId="5" fillId="0" fontId="1" numFmtId="164" xfId="0" applyAlignment="1" applyBorder="1" applyFont="1" applyNumberFormat="1">
      <alignment horizontal="center" vertical="center"/>
    </xf>
    <xf borderId="7" fillId="0" fontId="1" numFmtId="164" xfId="0" applyAlignment="1" applyBorder="1" applyFont="1" applyNumberFormat="1">
      <alignment horizontal="center"/>
    </xf>
    <xf borderId="7" fillId="0" fontId="1" numFmtId="165" xfId="0" applyAlignment="1" applyBorder="1" applyFont="1" applyNumberFormat="1">
      <alignment horizontal="center"/>
    </xf>
    <xf borderId="7" fillId="0" fontId="3" numFmtId="166" xfId="0" applyBorder="1" applyFont="1" applyNumberFormat="1"/>
    <xf borderId="7" fillId="0" fontId="1" numFmtId="166" xfId="0" applyBorder="1" applyFont="1" applyNumberFormat="1"/>
    <xf borderId="7" fillId="0" fontId="1" numFmtId="166" xfId="0" applyBorder="1" applyFont="1" applyNumberFormat="1"/>
    <xf borderId="5" fillId="0" fontId="1" numFmtId="166" xfId="0" applyBorder="1" applyFont="1" applyNumberFormat="1"/>
    <xf borderId="6" fillId="8" fontId="1" numFmtId="164" xfId="0" applyAlignment="1" applyBorder="1" applyFill="1" applyFont="1" applyNumberFormat="1">
      <alignment horizontal="right" readingOrder="0" vertical="center"/>
    </xf>
    <xf borderId="11" fillId="8" fontId="12" numFmtId="164" xfId="0" applyAlignment="1" applyBorder="1" applyFont="1" applyNumberFormat="1">
      <alignment horizontal="right" vertical="bottom"/>
    </xf>
    <xf borderId="6" fillId="8" fontId="12" numFmtId="164" xfId="0" applyAlignment="1" applyBorder="1" applyFont="1" applyNumberFormat="1">
      <alignment horizontal="right" vertical="bottom"/>
    </xf>
    <xf borderId="12" fillId="8" fontId="12" numFmtId="164" xfId="0" applyAlignment="1" applyBorder="1" applyFont="1" applyNumberFormat="1">
      <alignment horizontal="right" vertical="bottom"/>
    </xf>
    <xf borderId="12" fillId="0" fontId="1" numFmtId="0" xfId="0" applyAlignment="1" applyBorder="1" applyFont="1">
      <alignment horizontal="center"/>
    </xf>
    <xf borderId="12" fillId="0" fontId="1" numFmtId="2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4" fillId="0" fontId="1" numFmtId="164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center"/>
    </xf>
    <xf borderId="8" fillId="0" fontId="1" numFmtId="0" xfId="0" applyBorder="1" applyFont="1"/>
    <xf borderId="8" fillId="0" fontId="1" numFmtId="2" xfId="0" applyBorder="1" applyFont="1" applyNumberFormat="1"/>
    <xf borderId="8" fillId="9" fontId="1" numFmtId="164" xfId="0" applyAlignment="1" applyBorder="1" applyFill="1" applyFont="1" applyNumberFormat="1">
      <alignment horizontal="right" readingOrder="0" vertical="center"/>
    </xf>
    <xf borderId="11" fillId="9" fontId="12" numFmtId="164" xfId="0" applyAlignment="1" applyBorder="1" applyFont="1" applyNumberFormat="1">
      <alignment horizontal="right" vertical="bottom"/>
    </xf>
    <xf borderId="6" fillId="9" fontId="12" numFmtId="164" xfId="0" applyAlignment="1" applyBorder="1" applyFont="1" applyNumberFormat="1">
      <alignment horizontal="right" vertical="bottom"/>
    </xf>
    <xf borderId="12" fillId="9" fontId="12" numFmtId="16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/>
    </xf>
    <xf borderId="8" fillId="0" fontId="1" numFmtId="165" xfId="0" applyAlignment="1" applyBorder="1" applyFont="1" applyNumberFormat="1">
      <alignment horizontal="center"/>
    </xf>
    <xf borderId="8" fillId="0" fontId="3" numFmtId="166" xfId="0" applyBorder="1" applyFont="1" applyNumberFormat="1"/>
    <xf borderId="8" fillId="0" fontId="1" numFmtId="166" xfId="0" applyBorder="1" applyFont="1" applyNumberFormat="1"/>
    <xf borderId="14" fillId="0" fontId="1" numFmtId="0" xfId="0" applyBorder="1" applyFont="1"/>
    <xf borderId="14" fillId="6" fontId="1" numFmtId="164" xfId="0" applyAlignment="1" applyBorder="1" applyFont="1" applyNumberFormat="1">
      <alignment horizontal="right" readingOrder="0" vertical="center"/>
    </xf>
    <xf borderId="8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/>
    </xf>
    <xf borderId="6" fillId="0" fontId="3" numFmtId="166" xfId="0" applyBorder="1" applyFont="1" applyNumberFormat="1"/>
    <xf borderId="12" fillId="8" fontId="1" numFmtId="164" xfId="0" applyAlignment="1" applyBorder="1" applyFont="1" applyNumberFormat="1">
      <alignment horizontal="right" readingOrder="0" vertical="center"/>
    </xf>
    <xf borderId="6" fillId="8" fontId="1" numFmtId="164" xfId="0" applyAlignment="1" applyBorder="1" applyFont="1" applyNumberFormat="1">
      <alignment readingOrder="0"/>
    </xf>
    <xf borderId="7" fillId="0" fontId="1" numFmtId="164" xfId="0" applyAlignment="1" applyBorder="1" applyFont="1" applyNumberFormat="1">
      <alignment horizontal="center" vertical="center"/>
    </xf>
    <xf borderId="10" fillId="9" fontId="1" numFmtId="164" xfId="0" applyAlignment="1" applyBorder="1" applyFont="1" applyNumberFormat="1">
      <alignment horizontal="right" readingOrder="0" vertical="center"/>
    </xf>
    <xf borderId="8" fillId="9" fontId="1" numFmtId="164" xfId="0" applyAlignment="1" applyBorder="1" applyFont="1" applyNumberFormat="1">
      <alignment readingOrder="0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6" fillId="6" fontId="1" numFmtId="164" xfId="0" applyAlignment="1" applyBorder="1" applyFont="1" applyNumberFormat="1">
      <alignment horizontal="right" readingOrder="0" vertical="center"/>
    </xf>
    <xf borderId="0" fillId="0" fontId="1" numFmtId="2" xfId="0" applyFont="1" applyNumberFormat="1"/>
    <xf borderId="12" fillId="6" fontId="1" numFmtId="164" xfId="0" applyAlignment="1" applyBorder="1" applyFont="1" applyNumberFormat="1">
      <alignment horizontal="right" readingOrder="0" vertical="center"/>
    </xf>
    <xf borderId="8" fillId="0" fontId="1" numFmtId="164" xfId="0" applyAlignment="1" applyBorder="1" applyFont="1" applyNumberFormat="1">
      <alignment horizontal="center"/>
    </xf>
    <xf borderId="5" fillId="0" fontId="3" numFmtId="166" xfId="0" applyBorder="1" applyFont="1" applyNumberFormat="1"/>
    <xf borderId="5" fillId="0" fontId="1" numFmtId="166" xfId="0" applyBorder="1" applyFont="1" applyNumberFormat="1"/>
    <xf borderId="11" fillId="0" fontId="1" numFmtId="0" xfId="0" applyBorder="1" applyFont="1"/>
    <xf borderId="9" fillId="0" fontId="1" numFmtId="0" xfId="0" applyBorder="1" applyFont="1"/>
    <xf borderId="10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0" fillId="0" fontId="13" numFmtId="0" xfId="0" applyAlignment="1" applyFont="1">
      <alignment readingOrder="0"/>
    </xf>
    <xf borderId="15" fillId="0" fontId="13" numFmtId="0" xfId="0" applyAlignment="1" applyBorder="1" applyFont="1">
      <alignment readingOrder="0"/>
    </xf>
    <xf borderId="15" fillId="0" fontId="1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0" fillId="0" fontId="1" numFmtId="166" xfId="0" applyFont="1" applyNumberFormat="1"/>
    <xf borderId="0" fillId="7" fontId="5" numFmtId="0" xfId="0" applyAlignment="1" applyFont="1">
      <alignment horizontal="center" readingOrder="0" vertical="center"/>
    </xf>
    <xf borderId="14" fillId="0" fontId="5" numFmtId="166" xfId="0" applyAlignment="1" applyBorder="1" applyFont="1" applyNumberFormat="1">
      <alignment horizontal="right" readingOrder="0"/>
    </xf>
    <xf borderId="15" fillId="0" fontId="5" numFmtId="166" xfId="0" applyAlignment="1" applyBorder="1" applyFont="1" applyNumberFormat="1">
      <alignment horizontal="right" readingOrder="0"/>
    </xf>
    <xf borderId="15" fillId="0" fontId="5" numFmtId="0" xfId="0" applyAlignment="1" applyBorder="1" applyFont="1">
      <alignment horizontal="right" readingOrder="0"/>
    </xf>
    <xf borderId="13" fillId="0" fontId="5" numFmtId="0" xfId="0" applyAlignment="1" applyBorder="1" applyFont="1">
      <alignment horizontal="right" readingOrder="0"/>
    </xf>
    <xf borderId="12" fillId="0" fontId="1" numFmtId="165" xfId="0" applyBorder="1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11" fillId="0" fontId="1" numFmtId="165" xfId="0" applyAlignment="1" applyBorder="1" applyFont="1" applyNumberFormat="1">
      <alignment readingOrder="0"/>
    </xf>
    <xf borderId="11" fillId="0" fontId="1" numFmtId="165" xfId="0" applyBorder="1" applyFont="1" applyNumberFormat="1"/>
    <xf borderId="14" fillId="0" fontId="14" numFmtId="0" xfId="0" applyAlignment="1" applyBorder="1" applyFont="1">
      <alignment horizontal="center" readingOrder="0" vertical="center"/>
    </xf>
    <xf borderId="13" fillId="0" fontId="4" numFmtId="0" xfId="0" applyBorder="1" applyFont="1"/>
    <xf borderId="10" fillId="0" fontId="1" numFmtId="11" xfId="0" applyAlignment="1" applyBorder="1" applyFont="1" applyNumberFormat="1">
      <alignment horizontal="center" readingOrder="0" vertical="center"/>
    </xf>
    <xf borderId="9" fillId="0" fontId="4" numFmtId="0" xfId="0" applyBorder="1" applyFont="1"/>
    <xf borderId="0" fillId="0" fontId="14" numFmtId="166" xfId="0" applyAlignment="1" applyFont="1" applyNumberFormat="1">
      <alignment readingOrder="0"/>
    </xf>
    <xf borderId="0" fillId="0" fontId="1" numFmtId="11" xfId="0" applyFont="1" applyNumberFormat="1"/>
    <xf borderId="0" fillId="0" fontId="14" numFmtId="0" xfId="0" applyAlignment="1" applyFont="1">
      <alignment readingOrder="0"/>
    </xf>
    <xf borderId="10" fillId="0" fontId="1" numFmtId="165" xfId="0" applyBorder="1" applyFont="1" applyNumberFormat="1"/>
    <xf borderId="1" fillId="0" fontId="1" numFmtId="165" xfId="0" applyBorder="1" applyFont="1" applyNumberFormat="1"/>
    <xf borderId="9" fillId="0" fontId="1" numFmtId="165" xfId="0" applyBorder="1" applyFont="1" applyNumberFormat="1"/>
    <xf borderId="2" fillId="0" fontId="5" numFmtId="0" xfId="0" applyAlignment="1" applyBorder="1" applyFont="1">
      <alignment horizontal="center" readingOrder="0" vertical="center"/>
    </xf>
    <xf borderId="7" fillId="0" fontId="3" numFmtId="166" xfId="0" applyAlignment="1" applyBorder="1" applyFont="1" applyNumberFormat="1">
      <alignment horizontal="right" readingOrder="0"/>
    </xf>
    <xf borderId="7" fillId="0" fontId="3" numFmtId="0" xfId="0" applyAlignment="1" applyBorder="1" applyFont="1">
      <alignment horizontal="right" readingOrder="0"/>
    </xf>
    <xf borderId="0" fillId="0" fontId="1" numFmtId="166" xfId="0" applyAlignment="1" applyFont="1" applyNumberFormat="1">
      <alignment readingOrder="0"/>
    </xf>
    <xf borderId="8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left"/>
    </xf>
    <xf borderId="7" fillId="0" fontId="15" numFmtId="166" xfId="0" applyAlignment="1" applyBorder="1" applyFont="1" applyNumberFormat="1">
      <alignment horizontal="center" readingOrder="0" vertical="center"/>
    </xf>
    <xf borderId="7" fillId="0" fontId="15" numFmtId="0" xfId="0" applyAlignment="1" applyBorder="1" applyFont="1">
      <alignment horizontal="center" readingOrder="0" vertical="center"/>
    </xf>
    <xf borderId="8" fillId="0" fontId="1" numFmtId="11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readingOrder="0" vertical="center"/>
    </xf>
    <xf borderId="8" fillId="0" fontId="3" numFmtId="4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horizontal="right" readingOrder="0"/>
    </xf>
    <xf borderId="10" fillId="5" fontId="5" numFmtId="0" xfId="0" applyAlignment="1" applyBorder="1" applyFont="1">
      <alignment horizontal="center" readingOrder="0"/>
    </xf>
    <xf borderId="10" fillId="4" fontId="5" numFmtId="0" xfId="0" applyAlignment="1" applyBorder="1" applyFont="1">
      <alignment horizontal="center" readingOrder="0"/>
    </xf>
    <xf borderId="8" fillId="2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right" readingOrder="0"/>
    </xf>
    <xf borderId="11" fillId="7" fontId="1" numFmtId="2" xfId="0" applyAlignment="1" applyBorder="1" applyFont="1" applyNumberFormat="1">
      <alignment horizontal="right" vertical="center"/>
    </xf>
    <xf borderId="6" fillId="0" fontId="1" numFmtId="167" xfId="0" applyBorder="1" applyFont="1" applyNumberFormat="1"/>
    <xf borderId="0" fillId="0" fontId="1" numFmtId="167" xfId="0" applyFont="1" applyNumberFormat="1"/>
    <xf borderId="6" fillId="0" fontId="1" numFmtId="164" xfId="0" applyAlignment="1" applyBorder="1" applyFont="1" applyNumberFormat="1">
      <alignment readingOrder="0"/>
    </xf>
    <xf borderId="12" fillId="0" fontId="1" numFmtId="164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horizontal="center" vertical="center"/>
    </xf>
    <xf borderId="7" fillId="0" fontId="3" numFmtId="164" xfId="0" applyAlignment="1" applyBorder="1" applyFont="1" applyNumberForma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7" fillId="0" fontId="3" numFmtId="165" xfId="0" applyAlignment="1" applyBorder="1" applyFont="1" applyNumberFormat="1">
      <alignment horizontal="center" vertical="center"/>
    </xf>
    <xf borderId="11" fillId="0" fontId="1" numFmtId="2" xfId="0" applyAlignment="1" applyBorder="1" applyFont="1" applyNumberFormat="1">
      <alignment horizontal="right" vertical="center"/>
    </xf>
    <xf borderId="7" fillId="0" fontId="1" numFmtId="167" xfId="0" applyBorder="1" applyFont="1" applyNumberFormat="1"/>
    <xf borderId="7" fillId="0" fontId="1" numFmtId="165" xfId="0" applyAlignment="1" applyBorder="1" applyFont="1" applyNumberFormat="1">
      <alignment horizontal="right" readingOrder="0" vertical="center"/>
    </xf>
    <xf borderId="14" fillId="0" fontId="1" numFmtId="165" xfId="0" applyAlignment="1" applyBorder="1" applyFont="1" applyNumberFormat="1">
      <alignment horizontal="right" readingOrder="0" vertical="center"/>
    </xf>
    <xf borderId="11" fillId="0" fontId="1" numFmtId="2" xfId="0" applyBorder="1" applyFont="1" applyNumberFormat="1"/>
    <xf borderId="6" fillId="0" fontId="1" numFmtId="164" xfId="0" applyAlignment="1" applyBorder="1" applyFont="1" applyNumberFormat="1">
      <alignment horizontal="right" readingOrder="0" vertical="center"/>
    </xf>
    <xf borderId="8" fillId="0" fontId="4" numFmtId="0" xfId="0" applyBorder="1" applyFont="1"/>
    <xf borderId="11" fillId="7" fontId="1" numFmtId="0" xfId="0" applyAlignment="1" applyBorder="1" applyFont="1">
      <alignment horizontal="right" vertical="center"/>
    </xf>
    <xf borderId="11" fillId="0" fontId="1" numFmtId="0" xfId="0" applyAlignment="1" applyBorder="1" applyFont="1">
      <alignment horizontal="right" vertical="center"/>
    </xf>
    <xf borderId="6" fillId="0" fontId="1" numFmtId="165" xfId="0" applyAlignment="1" applyBorder="1" applyFont="1" applyNumberFormat="1">
      <alignment horizontal="right" readingOrder="0" vertical="center"/>
    </xf>
    <xf borderId="12" fillId="0" fontId="1" numFmtId="165" xfId="0" applyAlignment="1" applyBorder="1" applyFont="1" applyNumberFormat="1">
      <alignment horizontal="right" readingOrder="0" vertical="center"/>
    </xf>
    <xf borderId="9" fillId="7" fontId="1" numFmtId="2" xfId="0" applyAlignment="1" applyBorder="1" applyFont="1" applyNumberFormat="1">
      <alignment horizontal="right" readingOrder="0" vertical="center"/>
    </xf>
    <xf borderId="9" fillId="7" fontId="1" numFmtId="2" xfId="0" applyAlignment="1" applyBorder="1" applyFont="1" applyNumberFormat="1">
      <alignment horizontal="right" vertical="center"/>
    </xf>
    <xf borderId="9" fillId="0" fontId="1" numFmtId="2" xfId="0" applyBorder="1" applyFont="1" applyNumberFormat="1"/>
    <xf borderId="10" fillId="0" fontId="1" numFmtId="2" xfId="0" applyBorder="1" applyFont="1" applyNumberFormat="1"/>
    <xf borderId="8" fillId="0" fontId="1" numFmtId="164" xfId="0" applyAlignment="1" applyBorder="1" applyFont="1" applyNumberFormat="1">
      <alignment horizontal="right" readingOrder="0" vertical="center"/>
    </xf>
    <xf borderId="5" fillId="0" fontId="3" numFmtId="164" xfId="0" applyAlignment="1" applyBorder="1" applyFont="1" applyNumberFormat="1">
      <alignment horizontal="center" vertical="center"/>
    </xf>
    <xf borderId="5" fillId="0" fontId="3" numFmtId="165" xfId="0" applyAlignment="1" applyBorder="1" applyFont="1" applyNumberFormat="1">
      <alignment horizontal="center" vertical="center"/>
    </xf>
    <xf borderId="5" fillId="0" fontId="1" numFmtId="165" xfId="0" applyAlignment="1" applyBorder="1" applyFont="1" applyNumberFormat="1">
      <alignment horizontal="center" vertical="center"/>
    </xf>
    <xf borderId="8" fillId="0" fontId="1" numFmtId="165" xfId="0" applyAlignment="1" applyBorder="1" applyFont="1" applyNumberFormat="1">
      <alignment horizontal="right" readingOrder="0" vertical="center"/>
    </xf>
    <xf borderId="10" fillId="0" fontId="1" numFmtId="165" xfId="0" applyAlignment="1" applyBorder="1" applyFont="1" applyNumberFormat="1">
      <alignment horizontal="right" readingOrder="0" vertical="center"/>
    </xf>
    <xf borderId="7" fillId="0" fontId="1" numFmtId="164" xfId="0" applyAlignment="1" applyBorder="1" applyFont="1" applyNumberFormat="1">
      <alignment horizontal="right" readingOrder="0" vertical="center"/>
    </xf>
    <xf borderId="6" fillId="0" fontId="3" numFmtId="165" xfId="0" applyAlignment="1" applyBorder="1" applyFont="1" applyNumberFormat="1">
      <alignment horizontal="center" vertical="center"/>
    </xf>
    <xf borderId="11" fillId="0" fontId="1" numFmtId="2" xfId="0" applyAlignment="1" applyBorder="1" applyFont="1" applyNumberFormat="1">
      <alignment horizontal="right" readingOrder="0" vertical="center"/>
    </xf>
    <xf borderId="12" fillId="0" fontId="1" numFmtId="0" xfId="0" applyBorder="1" applyFont="1"/>
    <xf borderId="9" fillId="0" fontId="1" numFmtId="2" xfId="0" applyAlignment="1" applyBorder="1" applyFont="1" applyNumberFormat="1">
      <alignment horizontal="right" vertical="center"/>
    </xf>
    <xf borderId="10" fillId="0" fontId="1" numFmtId="0" xfId="0" applyBorder="1" applyFont="1"/>
    <xf borderId="9" fillId="0" fontId="1" numFmtId="0" xfId="0" applyAlignment="1" applyBorder="1" applyFont="1">
      <alignment horizontal="right" vertical="center"/>
    </xf>
    <xf borderId="5" fillId="0" fontId="1" numFmtId="0" xfId="0" applyBorder="1" applyFont="1"/>
    <xf borderId="15" fillId="0" fontId="1" numFmtId="0" xfId="0" applyBorder="1" applyFont="1"/>
    <xf borderId="15" fillId="7" fontId="13" numFmtId="0" xfId="0" applyAlignment="1" applyBorder="1" applyFont="1">
      <alignment readingOrder="0"/>
    </xf>
    <xf borderId="15" fillId="7" fontId="3" numFmtId="0" xfId="0" applyAlignment="1" applyBorder="1" applyFont="1">
      <alignment horizontal="center" vertical="center"/>
    </xf>
    <xf borderId="15" fillId="7" fontId="1" numFmtId="165" xfId="0" applyAlignment="1" applyBorder="1" applyFont="1" applyNumberFormat="1">
      <alignment horizontal="center" vertical="center"/>
    </xf>
    <xf borderId="0" fillId="7" fontId="13" numFmtId="0" xfId="0" applyAlignment="1" applyFont="1">
      <alignment readingOrder="0"/>
    </xf>
    <xf borderId="0" fillId="7" fontId="3" numFmtId="164" xfId="0" applyAlignment="1" applyFont="1" applyNumberFormat="1">
      <alignment horizontal="center" vertical="center"/>
    </xf>
    <xf borderId="0" fillId="7" fontId="1" numFmtId="165" xfId="0" applyAlignment="1" applyFont="1" applyNumberFormat="1">
      <alignment horizontal="center" vertical="center"/>
    </xf>
    <xf borderId="0" fillId="7" fontId="1" numFmtId="0" xfId="0" applyFont="1"/>
    <xf borderId="0" fillId="7" fontId="2" numFmtId="0" xfId="0" applyAlignment="1" applyFont="1">
      <alignment horizontal="center" readingOrder="0" vertical="center"/>
    </xf>
    <xf borderId="0" fillId="7" fontId="3" numFmtId="165" xfId="0" applyAlignment="1" applyFont="1" applyNumberFormat="1">
      <alignment horizontal="center" vertical="center"/>
    </xf>
    <xf borderId="14" fillId="7" fontId="5" numFmtId="0" xfId="0" applyAlignment="1" applyBorder="1" applyFont="1">
      <alignment horizontal="right" readingOrder="0"/>
    </xf>
    <xf borderId="15" fillId="7" fontId="5" numFmtId="0" xfId="0" applyAlignment="1" applyBorder="1" applyFont="1">
      <alignment horizontal="right" readingOrder="0"/>
    </xf>
    <xf borderId="15" fillId="7" fontId="5" numFmtId="0" xfId="0" applyAlignment="1" applyBorder="1" applyFont="1">
      <alignment horizontal="center" readingOrder="0" vertical="center"/>
    </xf>
    <xf borderId="13" fillId="7" fontId="5" numFmtId="0" xfId="0" applyAlignment="1" applyBorder="1" applyFont="1">
      <alignment horizontal="center" readingOrder="0" vertical="center"/>
    </xf>
    <xf borderId="0" fillId="7" fontId="1" numFmtId="165" xfId="0" applyAlignment="1" applyFont="1" applyNumberFormat="1">
      <alignment horizontal="right" vertical="center"/>
    </xf>
    <xf borderId="12" fillId="0" fontId="1" numFmtId="167" xfId="0" applyBorder="1" applyFont="1" applyNumberFormat="1"/>
    <xf borderId="0" fillId="0" fontId="1" numFmtId="165" xfId="0" applyAlignment="1" applyFont="1" applyNumberFormat="1">
      <alignment horizontal="center" vertical="center"/>
    </xf>
    <xf borderId="10" fillId="0" fontId="1" numFmtId="167" xfId="0" applyBorder="1" applyFont="1" applyNumberFormat="1"/>
    <xf borderId="1" fillId="0" fontId="1" numFmtId="167" xfId="0" applyBorder="1" applyFont="1" applyNumberFormat="1"/>
    <xf borderId="1" fillId="0" fontId="1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readingOrder="0"/>
    </xf>
    <xf borderId="5" fillId="0" fontId="9" numFmtId="0" xfId="0" applyAlignment="1" applyBorder="1" applyFont="1">
      <alignment horizontal="right" readingOrder="0"/>
    </xf>
    <xf borderId="5" fillId="0" fontId="5" numFmtId="0" xfId="0" applyAlignment="1" applyBorder="1" applyFont="1">
      <alignment horizontal="right" readingOrder="0"/>
    </xf>
    <xf borderId="6" fillId="0" fontId="1" numFmtId="2" xfId="0" applyAlignment="1" applyBorder="1" applyFont="1" applyNumberFormat="1">
      <alignment horizontal="right" readingOrder="0" vertical="center"/>
    </xf>
    <xf borderId="8" fillId="0" fontId="1" numFmtId="2" xfId="0" applyAlignment="1" applyBorder="1" applyFont="1" applyNumberFormat="1">
      <alignment horizontal="right" readingOrder="0" vertical="center"/>
    </xf>
    <xf borderId="0" fillId="0" fontId="1" numFmtId="11" xfId="0" applyAlignment="1" applyFont="1" applyNumberFormat="1">
      <alignment readingOrder="0"/>
    </xf>
    <xf borderId="0" fillId="0" fontId="5" numFmtId="0" xfId="0" applyAlignment="1" applyFont="1">
      <alignment horizontal="right" readingOrder="0"/>
    </xf>
    <xf borderId="0" fillId="0" fontId="1" numFmtId="2" xfId="0" applyAlignment="1" applyFont="1" applyNumberFormat="1">
      <alignment horizontal="right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'1_TaraturaMagnete'!$B$5:$B$15</c:f>
            </c:numRef>
          </c:xVal>
          <c:yVal>
            <c:numRef>
              <c:f>'1_TaraturaMagnete'!$D$5:$D$15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994570"/>
        <c:axId val="185210027"/>
      </c:scatterChart>
      <c:valAx>
        <c:axId val="13959945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10027"/>
      </c:valAx>
      <c:valAx>
        <c:axId val="185210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994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'1_TaraturaMagnete'!$G$5:$G$16</c:f>
            </c:numRef>
          </c:xVal>
          <c:yVal>
            <c:numRef>
              <c:f>'1_TaraturaMagnete'!$I$5:$I$16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747751"/>
        <c:axId val="1513844338"/>
      </c:scatterChart>
      <c:valAx>
        <c:axId val="9187477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844338"/>
      </c:valAx>
      <c:valAx>
        <c:axId val="1513844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87477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'1_TaraturaMagnete'!$L$5:$L$16</c:f>
            </c:numRef>
          </c:xVal>
          <c:yVal>
            <c:numRef>
              <c:f>'1_TaraturaMagnete'!$N$5:$N$16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908910"/>
        <c:axId val="914645317"/>
      </c:scatterChart>
      <c:valAx>
        <c:axId val="1398908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645317"/>
      </c:valAx>
      <c:valAx>
        <c:axId val="9146453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8908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'1_TaraturaMagnete'!$Q$5:$Q$16</c:f>
            </c:numRef>
          </c:xVal>
          <c:yVal>
            <c:numRef>
              <c:f>'1_TaraturaMagnete'!$S$5:$S$16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67310"/>
        <c:axId val="1357782701"/>
      </c:scatterChart>
      <c:valAx>
        <c:axId val="2085673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7782701"/>
      </c:valAx>
      <c:valAx>
        <c:axId val="1357782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67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'3_ZeemanLongitudinale'!$C$67:$C$74</c:f>
            </c:numRef>
          </c:xVal>
          <c:yVal>
            <c:numRef>
              <c:f>'3_ZeemanLongitudinale'!$D$67:$D$74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586313"/>
        <c:axId val="1414116113"/>
      </c:scatterChart>
      <c:valAx>
        <c:axId val="10015863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116113"/>
      </c:valAx>
      <c:valAx>
        <c:axId val="1414116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586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xVal>
            <c:numRef>
              <c:f>'3_ZeemanLongitudinale'!$V$67:$V$74</c:f>
            </c:numRef>
          </c:xVal>
          <c:yVal>
            <c:numRef>
              <c:f>'3_ZeemanLongitudinale'!$W$67:$W$74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183525"/>
        <c:axId val="329288870"/>
      </c:scatterChart>
      <c:valAx>
        <c:axId val="17371835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288870"/>
      </c:valAx>
      <c:valAx>
        <c:axId val="329288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183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16</xdr:row>
      <xdr:rowOff>190500</xdr:rowOff>
    </xdr:from>
    <xdr:ext cx="3857625" cy="2266950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923925</xdr:colOff>
      <xdr:row>16</xdr:row>
      <xdr:rowOff>190500</xdr:rowOff>
    </xdr:from>
    <xdr:ext cx="3857625" cy="2266950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933450</xdr:colOff>
      <xdr:row>16</xdr:row>
      <xdr:rowOff>190500</xdr:rowOff>
    </xdr:from>
    <xdr:ext cx="3857625" cy="2266950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942975</xdr:colOff>
      <xdr:row>16</xdr:row>
      <xdr:rowOff>190500</xdr:rowOff>
    </xdr:from>
    <xdr:ext cx="3857625" cy="2266950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74</xdr:row>
      <xdr:rowOff>161925</xdr:rowOff>
    </xdr:from>
    <xdr:ext cx="6800850" cy="2724150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942975</xdr:colOff>
      <xdr:row>75</xdr:row>
      <xdr:rowOff>104775</xdr:rowOff>
    </xdr:from>
    <xdr:ext cx="6800850" cy="2876550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atteo Herz" id="{38c3f701-4055-401f-9a2f-dbc4cb0df7e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" dT="2026-03-25T09:25:24.00" personId="{38c3f701-4055-401f-9a2f-dbc4cb0df7ef}" id="{547b3408-3000-48cb-868a-42274bc8bf2e}" done="1">
    <x18tc:text xml:space="preserve">semidispersione massima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7.0"/>
  </cols>
  <sheetData>
    <row r="2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4">
      <c r="B4" s="1" t="s">
        <v>6</v>
      </c>
      <c r="C4" s="1">
        <v>1.0</v>
      </c>
      <c r="D4" s="1">
        <v>2.5</v>
      </c>
      <c r="E4" s="1">
        <v>0.01</v>
      </c>
      <c r="F4" s="1">
        <v>173.4</v>
      </c>
      <c r="G4" s="1">
        <v>1.0</v>
      </c>
      <c r="H4" s="4" t="s">
        <v>7</v>
      </c>
      <c r="I4" s="1" t="s">
        <v>8</v>
      </c>
    </row>
    <row r="6">
      <c r="B6" s="5" t="s">
        <v>9</v>
      </c>
      <c r="C6" s="6"/>
      <c r="D6" s="6"/>
      <c r="E6" s="6"/>
      <c r="F6" s="6"/>
      <c r="G6" s="6"/>
    </row>
    <row r="7">
      <c r="B7" s="1" t="s">
        <v>10</v>
      </c>
      <c r="D7" s="1">
        <v>2.51</v>
      </c>
      <c r="E7" s="7">
        <f t="shared" ref="E7:E10" si="1">D7*0.03 + 0.1</f>
        <v>0.1753</v>
      </c>
      <c r="F7" s="8">
        <v>174.0</v>
      </c>
      <c r="G7" s="8">
        <f t="shared" ref="G7:G10" si="2">F7*0.05 + 1</f>
        <v>9.7</v>
      </c>
      <c r="H7" s="4" t="s">
        <v>7</v>
      </c>
    </row>
    <row r="8">
      <c r="B8" s="1" t="s">
        <v>11</v>
      </c>
      <c r="D8" s="7">
        <v>2.5</v>
      </c>
      <c r="E8" s="7">
        <f t="shared" si="1"/>
        <v>0.175</v>
      </c>
      <c r="F8" s="8">
        <v>173.0</v>
      </c>
      <c r="G8" s="8">
        <f t="shared" si="2"/>
        <v>9.65</v>
      </c>
      <c r="I8" s="9" t="s">
        <v>12</v>
      </c>
    </row>
    <row r="9">
      <c r="B9" s="1" t="s">
        <v>13</v>
      </c>
      <c r="D9" s="1">
        <v>2.51</v>
      </c>
      <c r="E9" s="7">
        <f t="shared" si="1"/>
        <v>0.1753</v>
      </c>
      <c r="F9" s="1">
        <v>174.5</v>
      </c>
      <c r="G9" s="8">
        <f t="shared" si="2"/>
        <v>9.725</v>
      </c>
      <c r="I9" s="1" t="s">
        <v>14</v>
      </c>
    </row>
    <row r="10">
      <c r="B10" s="1" t="s">
        <v>15</v>
      </c>
      <c r="D10" s="1">
        <v>2.51</v>
      </c>
      <c r="E10" s="7">
        <f t="shared" si="1"/>
        <v>0.1753</v>
      </c>
      <c r="F10" s="1">
        <v>174.2</v>
      </c>
      <c r="G10" s="8">
        <f t="shared" si="2"/>
        <v>9.71</v>
      </c>
    </row>
    <row r="11">
      <c r="I11" s="9" t="s">
        <v>16</v>
      </c>
    </row>
    <row r="12">
      <c r="B12" s="5" t="s">
        <v>17</v>
      </c>
      <c r="C12" s="6"/>
      <c r="D12" s="6"/>
      <c r="E12" s="6"/>
      <c r="F12" s="6"/>
      <c r="G12" s="6"/>
      <c r="I12" s="1" t="s">
        <v>18</v>
      </c>
    </row>
    <row r="13">
      <c r="B13" s="1" t="s">
        <v>19</v>
      </c>
      <c r="D13" s="7">
        <v>2.5</v>
      </c>
      <c r="E13" s="7">
        <f t="shared" ref="E13:E14" si="3">D13*0.03 + 0.1</f>
        <v>0.175</v>
      </c>
      <c r="F13" s="1">
        <v>173.4</v>
      </c>
      <c r="G13" s="8">
        <f t="shared" ref="G13:G14" si="4">F13*0.05 + 1</f>
        <v>9.67</v>
      </c>
    </row>
    <row r="14">
      <c r="B14" s="1" t="s">
        <v>20</v>
      </c>
      <c r="D14" s="1">
        <v>2.49</v>
      </c>
      <c r="E14" s="7">
        <f t="shared" si="3"/>
        <v>0.1747</v>
      </c>
      <c r="F14" s="1">
        <v>173.4</v>
      </c>
      <c r="G14" s="8">
        <f t="shared" si="4"/>
        <v>9.67</v>
      </c>
    </row>
    <row r="17">
      <c r="F17" s="9" t="s">
        <v>21</v>
      </c>
    </row>
    <row r="18">
      <c r="D18" s="9" t="s">
        <v>22</v>
      </c>
      <c r="E18" s="10">
        <f>MAX(F4:F14)</f>
        <v>174.5</v>
      </c>
      <c r="F18" s="11">
        <f t="shared" ref="F18:F19" si="5">E18*0.05 + 1</f>
        <v>9.725</v>
      </c>
      <c r="H18" s="9" t="s">
        <v>23</v>
      </c>
    </row>
    <row r="19">
      <c r="D19" s="9" t="s">
        <v>24</v>
      </c>
      <c r="E19" s="10">
        <f>F4</f>
        <v>173.4</v>
      </c>
      <c r="F19" s="11">
        <f t="shared" si="5"/>
        <v>9.67</v>
      </c>
      <c r="H19" s="10">
        <f>(max(F7:F14)-MIN(F7:F14))/2</f>
        <v>0.75</v>
      </c>
    </row>
    <row r="21">
      <c r="D21" s="9" t="s">
        <v>25</v>
      </c>
      <c r="E21" s="10">
        <f>E18-E19</f>
        <v>1.1</v>
      </c>
    </row>
  </sheetData>
  <mergeCells count="1">
    <mergeCell ref="H7:H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2" t="s">
        <v>26</v>
      </c>
      <c r="C3" s="13"/>
      <c r="D3" s="13"/>
      <c r="E3" s="14"/>
      <c r="G3" s="15" t="s">
        <v>27</v>
      </c>
      <c r="H3" s="13"/>
      <c r="I3" s="13"/>
      <c r="J3" s="14"/>
      <c r="L3" s="16" t="s">
        <v>28</v>
      </c>
      <c r="M3" s="13"/>
      <c r="N3" s="13"/>
      <c r="O3" s="14"/>
      <c r="Q3" s="17" t="s">
        <v>29</v>
      </c>
      <c r="R3" s="13"/>
      <c r="S3" s="13"/>
      <c r="T3" s="14"/>
    </row>
    <row r="4">
      <c r="B4" s="18" t="s">
        <v>30</v>
      </c>
      <c r="C4" s="18" t="s">
        <v>31</v>
      </c>
      <c r="D4" s="18" t="s">
        <v>32</v>
      </c>
      <c r="E4" s="18" t="s">
        <v>33</v>
      </c>
      <c r="F4" s="19"/>
      <c r="G4" s="20" t="s">
        <v>34</v>
      </c>
      <c r="H4" s="20" t="s">
        <v>35</v>
      </c>
      <c r="I4" s="20" t="s">
        <v>36</v>
      </c>
      <c r="J4" s="20" t="s">
        <v>37</v>
      </c>
      <c r="K4" s="19"/>
      <c r="L4" s="21" t="s">
        <v>38</v>
      </c>
      <c r="M4" s="21" t="s">
        <v>39</v>
      </c>
      <c r="N4" s="21" t="s">
        <v>40</v>
      </c>
      <c r="O4" s="21" t="s">
        <v>41</v>
      </c>
      <c r="P4" s="19"/>
      <c r="Q4" s="22" t="s">
        <v>42</v>
      </c>
      <c r="R4" s="22" t="s">
        <v>43</v>
      </c>
      <c r="S4" s="22" t="s">
        <v>44</v>
      </c>
      <c r="T4" s="22" t="s">
        <v>45</v>
      </c>
    </row>
    <row r="5">
      <c r="B5" s="23">
        <v>0.0</v>
      </c>
      <c r="C5" s="24">
        <f t="shared" ref="C5:C15" si="1">B5*0.03 + 0.1</f>
        <v>0.1</v>
      </c>
      <c r="D5" s="23">
        <v>9.1</v>
      </c>
      <c r="E5" s="23">
        <f t="shared" ref="E5:E8" si="2">D5*0.05 + 0.1</f>
        <v>0.555</v>
      </c>
      <c r="F5" s="25"/>
      <c r="G5" s="26">
        <v>10.01</v>
      </c>
      <c r="H5" s="27">
        <f t="shared" ref="H5:H15" si="3">G5*0.03 + 0.1</f>
        <v>0.4003</v>
      </c>
      <c r="I5" s="26">
        <v>625.0</v>
      </c>
      <c r="J5" s="26">
        <f t="shared" ref="J5:J11" si="4">I5*0.05 + 1</f>
        <v>32.25</v>
      </c>
      <c r="K5" s="25"/>
      <c r="L5" s="23">
        <v>0.0</v>
      </c>
      <c r="M5" s="24">
        <f t="shared" ref="M5:M15" si="5">L5*0.03 + 0.1</f>
        <v>0.1</v>
      </c>
      <c r="N5" s="23">
        <v>9.97</v>
      </c>
      <c r="O5" s="23">
        <f t="shared" ref="O5:O9" si="6">N5*0.05 + 0.1</f>
        <v>0.5985</v>
      </c>
      <c r="P5" s="25"/>
      <c r="Q5" s="26">
        <v>9.99</v>
      </c>
      <c r="R5" s="27">
        <f t="shared" ref="R5:R15" si="7">Q5*0.03 + 0.1</f>
        <v>0.3997</v>
      </c>
      <c r="S5" s="26">
        <v>626.4</v>
      </c>
      <c r="T5" s="26">
        <f t="shared" ref="T5:T10" si="8">S5*0.05 + 1</f>
        <v>32.32</v>
      </c>
    </row>
    <row r="6">
      <c r="B6" s="23">
        <v>1.04</v>
      </c>
      <c r="C6" s="24">
        <f t="shared" si="1"/>
        <v>0.1312</v>
      </c>
      <c r="D6" s="23">
        <v>74.96</v>
      </c>
      <c r="E6" s="23">
        <f t="shared" si="2"/>
        <v>3.848</v>
      </c>
      <c r="F6" s="25"/>
      <c r="G6" s="23">
        <v>9.06</v>
      </c>
      <c r="H6" s="24">
        <f t="shared" si="3"/>
        <v>0.3718</v>
      </c>
      <c r="I6" s="23">
        <v>586.3</v>
      </c>
      <c r="J6" s="23">
        <f t="shared" si="4"/>
        <v>30.315</v>
      </c>
      <c r="K6" s="25"/>
      <c r="L6" s="23">
        <v>1.05</v>
      </c>
      <c r="M6" s="24">
        <f t="shared" si="5"/>
        <v>0.1315</v>
      </c>
      <c r="N6" s="23">
        <v>78.43</v>
      </c>
      <c r="O6" s="23">
        <f t="shared" si="6"/>
        <v>4.0215</v>
      </c>
      <c r="P6" s="25"/>
      <c r="Q6" s="23">
        <v>9.01</v>
      </c>
      <c r="R6" s="24">
        <f t="shared" si="7"/>
        <v>0.3703</v>
      </c>
      <c r="S6" s="23">
        <v>585.1</v>
      </c>
      <c r="T6" s="23">
        <f t="shared" si="8"/>
        <v>30.255</v>
      </c>
    </row>
    <row r="7">
      <c r="B7" s="23">
        <v>2.04</v>
      </c>
      <c r="C7" s="24">
        <f t="shared" si="1"/>
        <v>0.1612</v>
      </c>
      <c r="D7" s="23">
        <v>141.09</v>
      </c>
      <c r="E7" s="23">
        <f t="shared" si="2"/>
        <v>7.1545</v>
      </c>
      <c r="F7" s="25"/>
      <c r="G7" s="23">
        <v>8.04</v>
      </c>
      <c r="H7" s="24">
        <f t="shared" si="3"/>
        <v>0.3412</v>
      </c>
      <c r="I7" s="23">
        <v>534.2</v>
      </c>
      <c r="J7" s="23">
        <f t="shared" si="4"/>
        <v>27.71</v>
      </c>
      <c r="K7" s="25"/>
      <c r="L7" s="23">
        <v>2.02</v>
      </c>
      <c r="M7" s="24">
        <f t="shared" si="5"/>
        <v>0.1606</v>
      </c>
      <c r="N7" s="23">
        <v>144.87</v>
      </c>
      <c r="O7" s="23">
        <f t="shared" si="6"/>
        <v>7.3435</v>
      </c>
      <c r="P7" s="25"/>
      <c r="Q7" s="23">
        <v>8.0</v>
      </c>
      <c r="R7" s="24">
        <f t="shared" si="7"/>
        <v>0.34</v>
      </c>
      <c r="S7" s="23">
        <v>530.0</v>
      </c>
      <c r="T7" s="23">
        <f t="shared" si="8"/>
        <v>27.5</v>
      </c>
    </row>
    <row r="8">
      <c r="B8" s="23">
        <v>3.1</v>
      </c>
      <c r="C8" s="24">
        <f t="shared" si="1"/>
        <v>0.193</v>
      </c>
      <c r="D8" s="23">
        <v>209.51</v>
      </c>
      <c r="E8" s="23">
        <f t="shared" si="2"/>
        <v>10.5755</v>
      </c>
      <c r="F8" s="25"/>
      <c r="G8" s="23">
        <v>7.12</v>
      </c>
      <c r="H8" s="24">
        <f t="shared" si="3"/>
        <v>0.3136</v>
      </c>
      <c r="I8" s="23">
        <v>478.4</v>
      </c>
      <c r="J8" s="23">
        <f t="shared" si="4"/>
        <v>24.92</v>
      </c>
      <c r="K8" s="25"/>
      <c r="L8" s="23">
        <v>2.98</v>
      </c>
      <c r="M8" s="24">
        <f t="shared" si="5"/>
        <v>0.1894</v>
      </c>
      <c r="N8" s="23">
        <v>206.38</v>
      </c>
      <c r="O8" s="23">
        <f t="shared" si="6"/>
        <v>10.419</v>
      </c>
      <c r="P8" s="25"/>
      <c r="Q8" s="23">
        <v>7.06</v>
      </c>
      <c r="R8" s="24">
        <f t="shared" si="7"/>
        <v>0.3118</v>
      </c>
      <c r="S8" s="23">
        <v>475.5</v>
      </c>
      <c r="T8" s="23">
        <f t="shared" si="8"/>
        <v>24.775</v>
      </c>
    </row>
    <row r="9">
      <c r="B9" s="23">
        <v>4.0</v>
      </c>
      <c r="C9" s="24">
        <f t="shared" si="1"/>
        <v>0.22</v>
      </c>
      <c r="D9" s="23">
        <v>273.14</v>
      </c>
      <c r="E9" s="23">
        <f t="shared" ref="E9:E15" si="9">D9*0.05 + 1</f>
        <v>14.657</v>
      </c>
      <c r="F9" s="25"/>
      <c r="G9" s="23">
        <v>6.03</v>
      </c>
      <c r="H9" s="24">
        <f t="shared" si="3"/>
        <v>0.2809</v>
      </c>
      <c r="I9" s="23">
        <v>412.0</v>
      </c>
      <c r="J9" s="23">
        <f t="shared" si="4"/>
        <v>21.6</v>
      </c>
      <c r="K9" s="25"/>
      <c r="L9" s="23">
        <v>3.96</v>
      </c>
      <c r="M9" s="24">
        <f t="shared" si="5"/>
        <v>0.2188</v>
      </c>
      <c r="N9" s="23">
        <v>271.76</v>
      </c>
      <c r="O9" s="23">
        <f t="shared" si="6"/>
        <v>13.688</v>
      </c>
      <c r="P9" s="25"/>
      <c r="Q9" s="23">
        <v>6.0</v>
      </c>
      <c r="R9" s="24">
        <f t="shared" si="7"/>
        <v>0.28</v>
      </c>
      <c r="S9" s="23">
        <v>410.5</v>
      </c>
      <c r="T9" s="23">
        <f t="shared" si="8"/>
        <v>21.525</v>
      </c>
    </row>
    <row r="10">
      <c r="B10" s="23">
        <v>4.97</v>
      </c>
      <c r="C10" s="24">
        <f t="shared" si="1"/>
        <v>0.2491</v>
      </c>
      <c r="D10" s="23">
        <v>336.5</v>
      </c>
      <c r="E10" s="23">
        <f t="shared" si="9"/>
        <v>17.825</v>
      </c>
      <c r="F10" s="25"/>
      <c r="G10" s="23">
        <v>5.02</v>
      </c>
      <c r="H10" s="24">
        <f t="shared" si="3"/>
        <v>0.2506</v>
      </c>
      <c r="I10" s="23">
        <v>346.6</v>
      </c>
      <c r="J10" s="23">
        <f t="shared" si="4"/>
        <v>18.33</v>
      </c>
      <c r="K10" s="25"/>
      <c r="L10" s="23">
        <v>4.98</v>
      </c>
      <c r="M10" s="24">
        <f t="shared" si="5"/>
        <v>0.2494</v>
      </c>
      <c r="N10" s="23">
        <v>339.5</v>
      </c>
      <c r="O10" s="23">
        <f t="shared" ref="O10:O15" si="10">N10*0.05 + 1</f>
        <v>17.975</v>
      </c>
      <c r="P10" s="25"/>
      <c r="Q10" s="23">
        <v>5.0</v>
      </c>
      <c r="R10" s="24">
        <f t="shared" si="7"/>
        <v>0.25</v>
      </c>
      <c r="S10" s="23">
        <v>347.0</v>
      </c>
      <c r="T10" s="23">
        <f t="shared" si="8"/>
        <v>18.35</v>
      </c>
    </row>
    <row r="11">
      <c r="B11" s="23">
        <v>5.94</v>
      </c>
      <c r="C11" s="24">
        <f t="shared" si="1"/>
        <v>0.2782</v>
      </c>
      <c r="D11" s="23">
        <v>408.6</v>
      </c>
      <c r="E11" s="23">
        <f t="shared" si="9"/>
        <v>21.43</v>
      </c>
      <c r="F11" s="25"/>
      <c r="G11" s="23">
        <v>3.99</v>
      </c>
      <c r="H11" s="24">
        <f t="shared" si="3"/>
        <v>0.2197</v>
      </c>
      <c r="I11" s="23">
        <v>275.9</v>
      </c>
      <c r="J11" s="23">
        <f t="shared" si="4"/>
        <v>14.795</v>
      </c>
      <c r="K11" s="25"/>
      <c r="L11" s="23">
        <v>6.01</v>
      </c>
      <c r="M11" s="24">
        <f t="shared" si="5"/>
        <v>0.2803</v>
      </c>
      <c r="N11" s="23">
        <v>407.2</v>
      </c>
      <c r="O11" s="23">
        <f t="shared" si="10"/>
        <v>21.36</v>
      </c>
      <c r="P11" s="25"/>
      <c r="Q11" s="23">
        <v>3.9</v>
      </c>
      <c r="R11" s="24">
        <f t="shared" si="7"/>
        <v>0.217</v>
      </c>
      <c r="S11" s="23">
        <v>272.61</v>
      </c>
      <c r="T11" s="23">
        <f t="shared" ref="T11:T15" si="11">S11*0.05 + 0.1</f>
        <v>13.7305</v>
      </c>
    </row>
    <row r="12">
      <c r="B12" s="23">
        <v>6.97</v>
      </c>
      <c r="C12" s="24">
        <f t="shared" si="1"/>
        <v>0.3091</v>
      </c>
      <c r="D12" s="23">
        <v>465.1</v>
      </c>
      <c r="E12" s="23">
        <f t="shared" si="9"/>
        <v>24.255</v>
      </c>
      <c r="F12" s="4"/>
      <c r="G12" s="23">
        <v>3.02</v>
      </c>
      <c r="H12" s="24">
        <f t="shared" si="3"/>
        <v>0.1906</v>
      </c>
      <c r="I12" s="23">
        <v>215.4</v>
      </c>
      <c r="J12" s="23">
        <f t="shared" ref="J12:J15" si="12">I12*0.05 + 0.1</f>
        <v>10.87</v>
      </c>
      <c r="K12" s="25"/>
      <c r="L12" s="23">
        <v>7.02</v>
      </c>
      <c r="M12" s="24">
        <f t="shared" si="5"/>
        <v>0.3106</v>
      </c>
      <c r="N12" s="23">
        <v>471.4</v>
      </c>
      <c r="O12" s="23">
        <f t="shared" si="10"/>
        <v>24.57</v>
      </c>
      <c r="P12" s="25"/>
      <c r="Q12" s="23">
        <v>3.0</v>
      </c>
      <c r="R12" s="24">
        <f t="shared" si="7"/>
        <v>0.19</v>
      </c>
      <c r="S12" s="23">
        <v>214.43</v>
      </c>
      <c r="T12" s="23">
        <f t="shared" si="11"/>
        <v>10.8215</v>
      </c>
    </row>
    <row r="13">
      <c r="B13" s="23">
        <v>8.0</v>
      </c>
      <c r="C13" s="24">
        <f t="shared" si="1"/>
        <v>0.34</v>
      </c>
      <c r="D13" s="23">
        <v>527.9</v>
      </c>
      <c r="E13" s="23">
        <f t="shared" si="9"/>
        <v>27.395</v>
      </c>
      <c r="F13" s="25"/>
      <c r="G13" s="23">
        <v>2.16</v>
      </c>
      <c r="H13" s="24">
        <f t="shared" si="3"/>
        <v>0.1648</v>
      </c>
      <c r="I13" s="23">
        <v>153.08</v>
      </c>
      <c r="J13" s="23">
        <f t="shared" si="12"/>
        <v>7.754</v>
      </c>
      <c r="K13" s="25"/>
      <c r="L13" s="23">
        <v>8.06</v>
      </c>
      <c r="M13" s="24">
        <f t="shared" si="5"/>
        <v>0.3418</v>
      </c>
      <c r="N13" s="23">
        <v>535.7</v>
      </c>
      <c r="O13" s="23">
        <f t="shared" si="10"/>
        <v>27.785</v>
      </c>
      <c r="P13" s="25"/>
      <c r="Q13" s="23">
        <v>2.04</v>
      </c>
      <c r="R13" s="24">
        <f t="shared" si="7"/>
        <v>0.1612</v>
      </c>
      <c r="S13" s="23">
        <v>150.33</v>
      </c>
      <c r="T13" s="23">
        <f t="shared" si="11"/>
        <v>7.6165</v>
      </c>
    </row>
    <row r="14">
      <c r="B14" s="23">
        <v>8.98</v>
      </c>
      <c r="C14" s="24">
        <f t="shared" si="1"/>
        <v>0.3694</v>
      </c>
      <c r="D14" s="23">
        <v>581.3</v>
      </c>
      <c r="E14" s="23">
        <f t="shared" si="9"/>
        <v>30.065</v>
      </c>
      <c r="F14" s="25"/>
      <c r="G14" s="23">
        <v>1.12</v>
      </c>
      <c r="H14" s="24">
        <f t="shared" si="3"/>
        <v>0.1336</v>
      </c>
      <c r="I14" s="23">
        <v>87.28</v>
      </c>
      <c r="J14" s="23">
        <f t="shared" si="12"/>
        <v>4.464</v>
      </c>
      <c r="K14" s="25"/>
      <c r="L14" s="23">
        <v>9.06</v>
      </c>
      <c r="M14" s="24">
        <f t="shared" si="5"/>
        <v>0.3718</v>
      </c>
      <c r="N14" s="23">
        <v>582.7</v>
      </c>
      <c r="O14" s="23">
        <f t="shared" si="10"/>
        <v>30.135</v>
      </c>
      <c r="P14" s="25"/>
      <c r="Q14" s="23">
        <v>0.98</v>
      </c>
      <c r="R14" s="24">
        <f t="shared" si="7"/>
        <v>0.1294</v>
      </c>
      <c r="S14" s="23">
        <v>79.31</v>
      </c>
      <c r="T14" s="23">
        <f t="shared" si="11"/>
        <v>4.0655</v>
      </c>
    </row>
    <row r="15">
      <c r="B15" s="26">
        <v>10.01</v>
      </c>
      <c r="C15" s="27">
        <f t="shared" si="1"/>
        <v>0.4003</v>
      </c>
      <c r="D15" s="26">
        <v>625.0</v>
      </c>
      <c r="E15" s="26">
        <f t="shared" si="9"/>
        <v>32.25</v>
      </c>
      <c r="F15" s="25"/>
      <c r="G15" s="23">
        <v>0.0</v>
      </c>
      <c r="H15" s="24">
        <f t="shared" si="3"/>
        <v>0.1</v>
      </c>
      <c r="I15" s="23">
        <v>9.98</v>
      </c>
      <c r="J15" s="23">
        <f t="shared" si="12"/>
        <v>0.599</v>
      </c>
      <c r="K15" s="25"/>
      <c r="L15" s="26">
        <v>9.99</v>
      </c>
      <c r="M15" s="27">
        <f t="shared" si="5"/>
        <v>0.3997</v>
      </c>
      <c r="N15" s="26">
        <v>626.4</v>
      </c>
      <c r="O15" s="26">
        <f t="shared" si="10"/>
        <v>32.32</v>
      </c>
      <c r="P15" s="25"/>
      <c r="Q15" s="23">
        <v>0.0</v>
      </c>
      <c r="R15" s="24">
        <f t="shared" si="7"/>
        <v>0.1</v>
      </c>
      <c r="S15" s="23">
        <v>9.78</v>
      </c>
      <c r="T15" s="23">
        <f t="shared" si="11"/>
        <v>0.589</v>
      </c>
    </row>
    <row r="16">
      <c r="B16" s="28"/>
      <c r="C16" s="28"/>
      <c r="D16" s="28"/>
      <c r="E16" s="28"/>
      <c r="F16" s="25"/>
      <c r="G16" s="28"/>
      <c r="H16" s="28"/>
      <c r="I16" s="28"/>
      <c r="J16" s="28"/>
      <c r="K16" s="25"/>
      <c r="L16" s="28"/>
      <c r="M16" s="28"/>
      <c r="N16" s="28"/>
      <c r="O16" s="28"/>
      <c r="P16" s="25"/>
      <c r="Q16" s="28"/>
      <c r="R16" s="28"/>
      <c r="S16" s="28"/>
      <c r="T16" s="28"/>
    </row>
    <row r="33">
      <c r="B33" s="29" t="s">
        <v>46</v>
      </c>
    </row>
    <row r="35">
      <c r="B35" s="30" t="s">
        <v>47</v>
      </c>
      <c r="C35" s="30" t="s">
        <v>48</v>
      </c>
      <c r="D35" s="30" t="s">
        <v>49</v>
      </c>
      <c r="E35" s="30" t="s">
        <v>50</v>
      </c>
      <c r="F35" s="30" t="s">
        <v>51</v>
      </c>
      <c r="G35" s="30" t="s">
        <v>52</v>
      </c>
      <c r="H35" s="30" t="s">
        <v>50</v>
      </c>
      <c r="I35" s="30" t="s">
        <v>53</v>
      </c>
    </row>
    <row r="36">
      <c r="B36" s="31">
        <v>1.0</v>
      </c>
      <c r="C36" s="31">
        <v>65.35</v>
      </c>
      <c r="D36" s="31">
        <v>2.1</v>
      </c>
      <c r="E36" s="32">
        <f t="shared" ref="E36:E39" si="13">1/(D36)^2</f>
        <v>0.2267573696</v>
      </c>
      <c r="F36" s="31">
        <v>8.56</v>
      </c>
      <c r="G36" s="31">
        <v>5.43</v>
      </c>
      <c r="H36" s="32">
        <f t="shared" ref="H36:H39" si="14">1/(G36)^2</f>
        <v>0.03391566531</v>
      </c>
      <c r="I36" s="31" t="s">
        <v>54</v>
      </c>
    </row>
    <row r="37">
      <c r="B37" s="23">
        <v>2.0</v>
      </c>
      <c r="C37" s="23">
        <v>65.74</v>
      </c>
      <c r="D37" s="23">
        <v>2.09</v>
      </c>
      <c r="E37" s="33">
        <f t="shared" si="13"/>
        <v>0.2289324878</v>
      </c>
      <c r="F37" s="23">
        <v>11.58</v>
      </c>
      <c r="G37" s="23">
        <v>5.51</v>
      </c>
      <c r="H37" s="33">
        <f t="shared" si="14"/>
        <v>0.03293796793</v>
      </c>
      <c r="I37" s="31" t="s">
        <v>54</v>
      </c>
    </row>
    <row r="38">
      <c r="B38" s="23">
        <v>3.0</v>
      </c>
      <c r="C38" s="23">
        <v>64.71</v>
      </c>
      <c r="D38" s="23">
        <v>1.91</v>
      </c>
      <c r="E38" s="33">
        <f t="shared" si="13"/>
        <v>0.2741152929</v>
      </c>
      <c r="F38" s="23">
        <v>11.22</v>
      </c>
      <c r="G38" s="23">
        <v>5.31</v>
      </c>
      <c r="H38" s="33">
        <f t="shared" si="14"/>
        <v>0.03546589777</v>
      </c>
      <c r="I38" s="31" t="s">
        <v>54</v>
      </c>
    </row>
    <row r="39">
      <c r="B39" s="34">
        <v>4.0</v>
      </c>
      <c r="C39" s="34">
        <v>65.19</v>
      </c>
      <c r="D39" s="34">
        <v>1.91</v>
      </c>
      <c r="E39" s="33">
        <f t="shared" si="13"/>
        <v>0.2741152929</v>
      </c>
      <c r="F39" s="34">
        <v>13.02</v>
      </c>
      <c r="G39" s="34">
        <v>5.32</v>
      </c>
      <c r="H39" s="33">
        <f t="shared" si="14"/>
        <v>0.03533269263</v>
      </c>
      <c r="I39" s="31" t="s">
        <v>54</v>
      </c>
    </row>
    <row r="40">
      <c r="B40" s="35" t="s">
        <v>55</v>
      </c>
      <c r="C40" s="36">
        <f>(C36*E36+C37*E37+C38*E38+C39*E39)/(E36+E37+E38+E39)</f>
        <v>65.22049914</v>
      </c>
      <c r="D40" s="37">
        <f>SQRT(1/(E36+E37+E38+E39))</f>
        <v>0.9980455233</v>
      </c>
      <c r="E40" s="38"/>
      <c r="F40" s="36">
        <f>(F36*H36+F37*H37+F38*H38+F39*H39)/(H36+H37+H38+H39)</f>
        <v>11.1127794</v>
      </c>
      <c r="G40" s="37">
        <f>SQRT(1/(H36+H37+H38+H39))</f>
        <v>2.695307901</v>
      </c>
      <c r="H40" s="39"/>
      <c r="I40" s="31" t="s">
        <v>54</v>
      </c>
    </row>
    <row r="41">
      <c r="B41" s="40" t="s">
        <v>56</v>
      </c>
      <c r="C41" s="41">
        <f t="shared" ref="C41:D41" si="15">AVERAGE(C36:C39)</f>
        <v>65.2475</v>
      </c>
      <c r="D41" s="42">
        <f t="shared" si="15"/>
        <v>2.0025</v>
      </c>
      <c r="E41" s="43"/>
      <c r="F41" s="41">
        <f t="shared" ref="F41:G41" si="16">AVERAGE(F36:F39)</f>
        <v>11.095</v>
      </c>
      <c r="G41" s="44">
        <f t="shared" si="16"/>
        <v>5.3925</v>
      </c>
      <c r="H41" s="43"/>
      <c r="I41" s="45" t="s">
        <v>54</v>
      </c>
    </row>
    <row r="45">
      <c r="B45" s="5" t="s">
        <v>51</v>
      </c>
      <c r="C45" s="30" t="s">
        <v>57</v>
      </c>
      <c r="D45" s="30" t="s">
        <v>58</v>
      </c>
      <c r="E45" s="30" t="s">
        <v>59</v>
      </c>
      <c r="F45" s="30" t="s">
        <v>60</v>
      </c>
      <c r="G45" s="30" t="s">
        <v>61</v>
      </c>
      <c r="H45" s="30" t="s">
        <v>62</v>
      </c>
    </row>
    <row r="46">
      <c r="C46" s="46">
        <f>ABS(C36-C37)/SQRT((D36)^2+(D37)^2)</f>
        <v>0.1316328684</v>
      </c>
      <c r="D46" s="46">
        <f>ABS(C36-C38)/SQRT((D36)^2+(D38)^2)</f>
        <v>0.2254569605</v>
      </c>
      <c r="E46" s="46">
        <f>ABS(C36-C39)/SQRT((D36)^2+(D39)^2)</f>
        <v>0.05636424011</v>
      </c>
      <c r="F46" s="46">
        <f>ABS(C37-C38)/SQRT((D37)^2+(D38)^2)</f>
        <v>0.3637918394</v>
      </c>
      <c r="G46" s="46">
        <f>ABS(C37-C39)/SQRT((D37)^2+(D39)^2)</f>
        <v>0.1942577783</v>
      </c>
      <c r="H46" s="46">
        <f>ABS(C38-C39)/SQRT((D38)^2+(D39)^2)</f>
        <v>0.1777022277</v>
      </c>
    </row>
    <row r="48">
      <c r="B48" s="5" t="s">
        <v>48</v>
      </c>
      <c r="C48" s="30" t="s">
        <v>57</v>
      </c>
      <c r="D48" s="30" t="s">
        <v>58</v>
      </c>
      <c r="E48" s="30" t="s">
        <v>59</v>
      </c>
      <c r="F48" s="30" t="s">
        <v>60</v>
      </c>
      <c r="G48" s="30" t="s">
        <v>61</v>
      </c>
      <c r="H48" s="30" t="s">
        <v>62</v>
      </c>
    </row>
    <row r="49">
      <c r="C49" s="46">
        <f>ABS(F36-F37)/SQRT((G36)^2+(G37)^2)</f>
        <v>0.3903848968</v>
      </c>
      <c r="D49" s="46">
        <f>ABS(F36-F38)/SQRT((G36)^2+(G38)^2)</f>
        <v>0.3502395983</v>
      </c>
      <c r="E49" s="46">
        <f>ABS(F36-F39)/SQRT((G36)^2+(G39)^2)</f>
        <v>0.5867034703</v>
      </c>
      <c r="F49" s="46">
        <f>ABS(F37-F38)/SQRT((G37)^2+(G38)^2)</f>
        <v>0.04704528004</v>
      </c>
      <c r="G49" s="46">
        <f>ABS(F37-F39)/SQRT((G37)^2+(G39)^2)</f>
        <v>0.1880105451</v>
      </c>
      <c r="H49" s="46">
        <f>ABS(F38-F39)/SQRT((G38)^2+(G39)^2)</f>
        <v>0.2394716167</v>
      </c>
    </row>
  </sheetData>
  <mergeCells count="6">
    <mergeCell ref="B3:E3"/>
    <mergeCell ref="G3:J3"/>
    <mergeCell ref="L3:O3"/>
    <mergeCell ref="Q3:T3"/>
    <mergeCell ref="E40:E41"/>
    <mergeCell ref="H40:H41"/>
  </mergeCells>
  <conditionalFormatting sqref="B46:H46 B49:H49">
    <cfRule type="cellIs" dxfId="0" priority="1" operator="lessThan">
      <formula>1.96</formula>
    </cfRule>
  </conditionalFormatting>
  <conditionalFormatting sqref="B46:H46 B49:H49">
    <cfRule type="cellIs" dxfId="1" priority="2" operator="greaterThanOrEqual">
      <formula>1.96</formula>
    </cfRule>
  </conditionalFormatting>
  <conditionalFormatting sqref="M50">
    <cfRule type="notContainsBlanks" dxfId="2" priority="3">
      <formula>LEN(TRIM(M50))&gt;0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5" max="28" width="14.88"/>
    <col customWidth="1" min="29" max="30" width="15.38"/>
    <col customWidth="1" min="31" max="32" width="16.5"/>
  </cols>
  <sheetData>
    <row r="2">
      <c r="B2" s="47" t="s">
        <v>2</v>
      </c>
      <c r="C2" s="48" t="s">
        <v>63</v>
      </c>
      <c r="D2" s="48" t="s">
        <v>64</v>
      </c>
      <c r="E2" s="48" t="s">
        <v>65</v>
      </c>
      <c r="F2" s="48" t="s">
        <v>66</v>
      </c>
      <c r="G2" s="48" t="s">
        <v>67</v>
      </c>
      <c r="H2" s="48" t="s">
        <v>68</v>
      </c>
      <c r="I2" s="48" t="s">
        <v>69</v>
      </c>
      <c r="J2" s="48" t="s">
        <v>70</v>
      </c>
      <c r="K2" s="48" t="s">
        <v>71</v>
      </c>
      <c r="L2" s="49" t="s">
        <v>72</v>
      </c>
      <c r="M2" s="49" t="s">
        <v>73</v>
      </c>
      <c r="N2" s="49" t="s">
        <v>74</v>
      </c>
      <c r="O2" s="49" t="s">
        <v>75</v>
      </c>
      <c r="P2" s="49" t="s">
        <v>76</v>
      </c>
      <c r="Q2" s="49" t="s">
        <v>77</v>
      </c>
      <c r="R2" s="50" t="s">
        <v>78</v>
      </c>
      <c r="S2" s="13"/>
      <c r="T2" s="13"/>
      <c r="U2" s="51" t="s">
        <v>79</v>
      </c>
      <c r="V2" s="51" t="s">
        <v>80</v>
      </c>
      <c r="W2" s="52" t="s">
        <v>81</v>
      </c>
      <c r="X2" s="51" t="s">
        <v>82</v>
      </c>
      <c r="Y2" s="53" t="s">
        <v>83</v>
      </c>
      <c r="Z2" s="53" t="s">
        <v>84</v>
      </c>
      <c r="AA2" s="53" t="s">
        <v>85</v>
      </c>
      <c r="AB2" s="53" t="s">
        <v>86</v>
      </c>
      <c r="AC2" s="53" t="s">
        <v>87</v>
      </c>
      <c r="AD2" s="53" t="s">
        <v>88</v>
      </c>
      <c r="AE2" s="53" t="s">
        <v>89</v>
      </c>
      <c r="AF2" s="53" t="s">
        <v>90</v>
      </c>
    </row>
    <row r="3">
      <c r="B3" s="54">
        <v>0.0</v>
      </c>
      <c r="C3" s="55">
        <f>B3*0.03 + 0.1</f>
        <v>0.1</v>
      </c>
      <c r="D3" s="10">
        <f>11.11 + 65.22*B3</f>
        <v>11.11</v>
      </c>
      <c r="E3" s="56">
        <f>SQRT(B3^2*'1_TaraturaMagnete'!$D$40^2 + '1_TaraturaMagnete'!$C$40^2*C3^2 +'1_TaraturaMagnete'!$G$40^2 )</f>
        <v>7.057040439</v>
      </c>
      <c r="F3" s="57">
        <f t="shared" ref="F3:G3" si="1">D3/1000</f>
        <v>0.01111</v>
      </c>
      <c r="G3" s="57">
        <f t="shared" si="1"/>
        <v>0.007057040439</v>
      </c>
      <c r="H3" s="58" t="s">
        <v>91</v>
      </c>
      <c r="I3" s="59" t="s">
        <v>54</v>
      </c>
      <c r="J3" s="59" t="s">
        <v>54</v>
      </c>
      <c r="K3" s="59" t="s">
        <v>54</v>
      </c>
      <c r="L3" s="59" t="s">
        <v>54</v>
      </c>
      <c r="M3" s="60" t="s">
        <v>54</v>
      </c>
      <c r="N3" s="59" t="s">
        <v>54</v>
      </c>
      <c r="O3" s="59"/>
      <c r="P3" s="60" t="s">
        <v>54</v>
      </c>
      <c r="Q3" s="59"/>
      <c r="R3" s="60" t="s">
        <v>54</v>
      </c>
      <c r="S3" s="59" t="s">
        <v>54</v>
      </c>
      <c r="T3" s="59" t="s">
        <v>54</v>
      </c>
      <c r="U3" s="59" t="s">
        <v>54</v>
      </c>
      <c r="V3" s="59"/>
      <c r="W3" s="59" t="s">
        <v>54</v>
      </c>
      <c r="X3" s="59"/>
      <c r="Y3" s="59" t="s">
        <v>54</v>
      </c>
      <c r="Z3" s="59"/>
      <c r="AA3" s="59" t="s">
        <v>54</v>
      </c>
      <c r="AB3" s="59"/>
      <c r="AC3" s="59" t="s">
        <v>54</v>
      </c>
      <c r="AD3" s="59"/>
      <c r="AE3" s="59" t="s">
        <v>54</v>
      </c>
      <c r="AF3" s="60"/>
    </row>
    <row r="4">
      <c r="B4" s="61"/>
      <c r="C4" s="62"/>
      <c r="D4" s="63"/>
      <c r="E4" s="64"/>
      <c r="F4" s="65"/>
      <c r="G4" s="65"/>
      <c r="H4" s="58" t="s">
        <v>92</v>
      </c>
      <c r="I4" s="59" t="s">
        <v>54</v>
      </c>
      <c r="J4" s="59" t="s">
        <v>54</v>
      </c>
      <c r="K4" s="59" t="s">
        <v>54</v>
      </c>
      <c r="L4" s="59" t="s">
        <v>54</v>
      </c>
      <c r="M4" s="59" t="s">
        <v>54</v>
      </c>
      <c r="N4" s="59" t="s">
        <v>54</v>
      </c>
      <c r="O4" s="59"/>
      <c r="P4" s="59" t="s">
        <v>54</v>
      </c>
      <c r="Q4" s="59"/>
      <c r="R4" s="59" t="s">
        <v>54</v>
      </c>
      <c r="S4" s="59" t="s">
        <v>54</v>
      </c>
      <c r="T4" s="59" t="s">
        <v>54</v>
      </c>
      <c r="U4" s="59" t="s">
        <v>54</v>
      </c>
      <c r="V4" s="59"/>
      <c r="W4" s="59" t="s">
        <v>54</v>
      </c>
      <c r="X4" s="59"/>
      <c r="Y4" s="59" t="s">
        <v>54</v>
      </c>
      <c r="Z4" s="59"/>
      <c r="AA4" s="59" t="s">
        <v>54</v>
      </c>
      <c r="AB4" s="59"/>
      <c r="AC4" s="59" t="s">
        <v>54</v>
      </c>
      <c r="AD4" s="59"/>
      <c r="AE4" s="59" t="s">
        <v>54</v>
      </c>
      <c r="AF4" s="60"/>
    </row>
    <row r="5">
      <c r="B5" s="61"/>
      <c r="C5" s="62"/>
      <c r="D5" s="63"/>
      <c r="E5" s="64"/>
      <c r="F5" s="65"/>
      <c r="G5" s="65"/>
      <c r="H5" s="58" t="s">
        <v>93</v>
      </c>
      <c r="I5" s="58" t="s">
        <v>54</v>
      </c>
      <c r="J5" s="58" t="s">
        <v>54</v>
      </c>
      <c r="K5" s="58" t="s">
        <v>54</v>
      </c>
      <c r="L5" s="59" t="s">
        <v>54</v>
      </c>
      <c r="M5" s="59" t="s">
        <v>54</v>
      </c>
      <c r="N5" s="58" t="s">
        <v>54</v>
      </c>
      <c r="O5" s="58"/>
      <c r="P5" s="58" t="s">
        <v>54</v>
      </c>
      <c r="Q5" s="58"/>
      <c r="R5" s="59" t="s">
        <v>54</v>
      </c>
      <c r="S5" s="59" t="s">
        <v>54</v>
      </c>
      <c r="T5" s="59" t="s">
        <v>54</v>
      </c>
      <c r="U5" s="59" t="s">
        <v>54</v>
      </c>
      <c r="V5" s="59"/>
      <c r="W5" s="59" t="s">
        <v>54</v>
      </c>
      <c r="X5" s="59"/>
      <c r="Y5" s="59" t="s">
        <v>54</v>
      </c>
      <c r="Z5" s="59"/>
      <c r="AA5" s="59" t="s">
        <v>54</v>
      </c>
      <c r="AB5" s="59"/>
      <c r="AC5" s="59" t="s">
        <v>54</v>
      </c>
      <c r="AD5" s="59"/>
      <c r="AE5" s="59" t="s">
        <v>54</v>
      </c>
      <c r="AF5" s="60"/>
    </row>
    <row r="6">
      <c r="B6" s="66">
        <v>4.9</v>
      </c>
      <c r="C6" s="67">
        <f>B6*0.03 + 0.1</f>
        <v>0.247</v>
      </c>
      <c r="D6" s="68">
        <f>11.11 + 65.22*B6</f>
        <v>330.688</v>
      </c>
      <c r="E6" s="69">
        <f>SQRT(B6^2*'1_TaraturaMagnete'!$D$40^2 + '1_TaraturaMagnete'!$C$40^2*C6^2 +'1_TaraturaMagnete'!$G$40^2 )</f>
        <v>17.04980146</v>
      </c>
      <c r="F6" s="70">
        <f t="shared" ref="F6:G6" si="2">D6/1000</f>
        <v>0.330688</v>
      </c>
      <c r="G6" s="70">
        <f t="shared" si="2"/>
        <v>0.01704980146</v>
      </c>
      <c r="H6" s="71" t="s">
        <v>91</v>
      </c>
      <c r="I6" s="72">
        <v>104039.492688</v>
      </c>
      <c r="J6" s="73">
        <v>120873.945312</v>
      </c>
      <c r="K6" s="74">
        <v>138758.3125</v>
      </c>
      <c r="L6" s="75">
        <f t="shared" ref="L6:M6" si="3">I6-J6</f>
        <v>-16834.45262</v>
      </c>
      <c r="M6" s="76">
        <f t="shared" si="3"/>
        <v>-17884.36719</v>
      </c>
      <c r="N6" s="77">
        <f>AVERAGE(L6:L8)</f>
        <v>-17812.88004</v>
      </c>
      <c r="O6" s="78">
        <f>(MAX(L6:L8)-MIN(L6:L8))/2</f>
        <v>4062.8125</v>
      </c>
      <c r="P6" s="79">
        <f>AVERAGE(M6:M8)</f>
        <v>-18468.2474</v>
      </c>
      <c r="Q6" s="78">
        <f>(MAX(M6:M8)-MIN(M6:M8))/2</f>
        <v>2423.75</v>
      </c>
      <c r="R6" s="80">
        <f t="shared" ref="R6:T6" si="4">I6-I7</f>
        <v>-132402.2573</v>
      </c>
      <c r="S6" s="80">
        <f t="shared" si="4"/>
        <v>-129807.0859</v>
      </c>
      <c r="T6" s="80">
        <f t="shared" si="4"/>
        <v>-133106.6563</v>
      </c>
      <c r="U6" s="81">
        <f>AVERAGE(R6:T6)</f>
        <v>-131771.9998</v>
      </c>
      <c r="V6" s="82">
        <f>(MAX(R6:T6)-MIN(R6:T6))/2</f>
        <v>1649.785156</v>
      </c>
      <c r="W6" s="82">
        <f>AVERAGE(R7:T7)</f>
        <v>-129885.8125</v>
      </c>
      <c r="X6" s="82">
        <f>(MAX(R7:T7)-MIN(R7:T7))/2</f>
        <v>4062.8125</v>
      </c>
      <c r="Y6" s="83">
        <f>N6/U6</f>
        <v>0.135179553</v>
      </c>
      <c r="Z6" s="84">
        <f>SQRT((1/U6)^2*(O6)^2 + (N6/(U6)^2)^2*(V6)^2)</f>
        <v>0.03087855438</v>
      </c>
      <c r="AA6" s="83">
        <f>N6/W6</f>
        <v>0.1371426155</v>
      </c>
      <c r="AB6" s="84">
        <f>SQRT((1/W6)^2*(O6)^2 + (O6/(W6)^2)^2*(X6)^2)</f>
        <v>0.03129517787</v>
      </c>
      <c r="AC6" s="83">
        <f>P6/U6</f>
        <v>0.1401530478</v>
      </c>
      <c r="AD6" s="85">
        <f>SQRT((1/U6)^2*(Q6)^2 + (P6/(U6)^2)^2*(V6)^2)</f>
        <v>0.01847702223</v>
      </c>
      <c r="AE6" s="83">
        <f>P6/W6</f>
        <v>0.1421883348</v>
      </c>
      <c r="AF6" s="86">
        <f>SQRT((1/W6)^2*(Q6)^2 + (P6/(W6)^2)^2*(X6)^2)</f>
        <v>0.01918333252</v>
      </c>
    </row>
    <row r="7">
      <c r="B7" s="61"/>
      <c r="C7" s="62"/>
      <c r="D7" s="63"/>
      <c r="E7" s="64"/>
      <c r="F7" s="65"/>
      <c r="G7" s="65"/>
      <c r="H7" s="87" t="s">
        <v>92</v>
      </c>
      <c r="I7" s="88">
        <v>236441.75</v>
      </c>
      <c r="J7" s="89">
        <v>250681.03125</v>
      </c>
      <c r="K7" s="90">
        <v>271864.96875</v>
      </c>
      <c r="L7" s="75">
        <f t="shared" ref="L7:M7" si="5">I7-J7</f>
        <v>-14239.28125</v>
      </c>
      <c r="M7" s="76">
        <f t="shared" si="5"/>
        <v>-21183.9375</v>
      </c>
      <c r="N7" s="91"/>
      <c r="O7" s="92"/>
      <c r="P7" s="93"/>
      <c r="Q7" s="94"/>
      <c r="R7" s="80">
        <f t="shared" ref="R7:T7" si="6">I7-I8</f>
        <v>-126084.5625</v>
      </c>
      <c r="S7" s="80">
        <f t="shared" si="6"/>
        <v>-134210.1875</v>
      </c>
      <c r="T7" s="95">
        <f t="shared" si="6"/>
        <v>-129362.6875</v>
      </c>
      <c r="U7" s="96"/>
      <c r="V7" s="82"/>
      <c r="W7" s="82"/>
      <c r="X7" s="82"/>
      <c r="Y7" s="83"/>
      <c r="Z7" s="84"/>
      <c r="AA7" s="83"/>
      <c r="AB7" s="84"/>
      <c r="AC7" s="83"/>
      <c r="AD7" s="84"/>
      <c r="AE7" s="83"/>
      <c r="AF7" s="65"/>
    </row>
    <row r="8">
      <c r="B8" s="61"/>
      <c r="C8" s="62"/>
      <c r="D8" s="97"/>
      <c r="E8" s="98"/>
      <c r="F8" s="65"/>
      <c r="G8" s="65"/>
      <c r="H8" s="99" t="s">
        <v>93</v>
      </c>
      <c r="I8" s="100">
        <v>362526.3125</v>
      </c>
      <c r="J8" s="101">
        <v>384891.21875</v>
      </c>
      <c r="K8" s="102">
        <v>401227.65625</v>
      </c>
      <c r="L8" s="75">
        <f t="shared" ref="L8:M8" si="7">I8-J8</f>
        <v>-22364.90625</v>
      </c>
      <c r="M8" s="76">
        <f t="shared" si="7"/>
        <v>-16336.4375</v>
      </c>
      <c r="N8" s="91"/>
      <c r="O8" s="92"/>
      <c r="P8" s="93"/>
      <c r="Q8" s="94"/>
      <c r="R8" s="28"/>
      <c r="S8" s="103"/>
      <c r="T8" s="103"/>
      <c r="U8" s="104"/>
      <c r="V8" s="105"/>
      <c r="W8" s="105"/>
      <c r="X8" s="105"/>
      <c r="Y8" s="106"/>
      <c r="Z8" s="107"/>
      <c r="AA8" s="106"/>
      <c r="AB8" s="107"/>
      <c r="AC8" s="106"/>
      <c r="AD8" s="107"/>
      <c r="AE8" s="106"/>
      <c r="AF8" s="65"/>
    </row>
    <row r="9">
      <c r="B9" s="66">
        <v>6.0</v>
      </c>
      <c r="C9" s="67">
        <f>B9*0.03 + 0.1</f>
        <v>0.28</v>
      </c>
      <c r="D9" s="108">
        <f>11.11 + 65.22*B9</f>
        <v>402.43</v>
      </c>
      <c r="E9" s="69">
        <f>SQRT(B9^2*'1_TaraturaMagnete'!$D$40^2 + '1_TaraturaMagnete'!$C$40^2*C9^2 +'1_TaraturaMagnete'!$G$40^2 )</f>
        <v>19.40657721</v>
      </c>
      <c r="F9" s="70">
        <f t="shared" ref="F9:G9" si="8">D9/1000</f>
        <v>0.40243</v>
      </c>
      <c r="G9" s="70">
        <f t="shared" si="8"/>
        <v>0.01940657721</v>
      </c>
      <c r="H9" s="109" t="s">
        <v>91</v>
      </c>
      <c r="I9" s="71">
        <v>106434.578125</v>
      </c>
      <c r="J9" s="71">
        <v>126046.28125</v>
      </c>
      <c r="K9" s="71">
        <v>145700.609375</v>
      </c>
      <c r="L9" s="75">
        <f t="shared" ref="L9:M9" si="9">I9-J9</f>
        <v>-19611.70313</v>
      </c>
      <c r="M9" s="76">
        <f t="shared" si="9"/>
        <v>-19654.32813</v>
      </c>
      <c r="N9" s="77">
        <f>AVERAGE(L9:L11)</f>
        <v>-16053.59896</v>
      </c>
      <c r="O9" s="78">
        <f>(MAX(L9:L11)-MIN(L9:L11))/2</f>
        <v>4013.414063</v>
      </c>
      <c r="P9" s="79">
        <f>AVERAGE(M9:M11)</f>
        <v>-21573.84375</v>
      </c>
      <c r="Q9" s="78">
        <f>(MAX(M9:M11)-MIN(M9:M11))/2</f>
        <v>2456.140625</v>
      </c>
      <c r="R9" s="80">
        <f t="shared" ref="R9:T9" si="10">I9-I10</f>
        <v>-126933.5938</v>
      </c>
      <c r="S9" s="80">
        <f t="shared" si="10"/>
        <v>-124286.1094</v>
      </c>
      <c r="T9" s="110">
        <f t="shared" si="10"/>
        <v>-129198.3906</v>
      </c>
      <c r="U9" s="111">
        <f>AVERAGE(R9:T9)</f>
        <v>-126806.0313</v>
      </c>
      <c r="V9" s="112">
        <f>(MAX(R9:T9)-MIN(R9:T9))/2</f>
        <v>2456.140625</v>
      </c>
      <c r="W9" s="112">
        <f>AVERAGE(R10:T10)</f>
        <v>-128433.6354</v>
      </c>
      <c r="X9" s="112">
        <f>(MAX(R10:T10)-MIN(R10:T10))/2</f>
        <v>4722.679688</v>
      </c>
      <c r="Y9" s="113">
        <f>N9/U9</f>
        <v>0.1265996483</v>
      </c>
      <c r="Z9" s="84">
        <f>SQRT((1/U9)^2*(O9)^2 + (N9/(U9)^2)^2*(V9)^2)</f>
        <v>0.03174487502</v>
      </c>
      <c r="AA9" s="113">
        <f>N9/W9</f>
        <v>0.1249952857</v>
      </c>
      <c r="AB9" s="84">
        <f>SQRT((1/W9)^2*(O9)^2 + (O9/(W9)^2)^2*(X9)^2)</f>
        <v>0.03127005218</v>
      </c>
      <c r="AC9" s="113">
        <f>P9/U9</f>
        <v>0.1701326312</v>
      </c>
      <c r="AD9" s="85">
        <f>SQRT((1/U9)^2*(Q9)^2 + (P9/(U9)^2)^2*(V9)^2)</f>
        <v>0.01964759613</v>
      </c>
      <c r="AE9" s="113">
        <f>P9/W9</f>
        <v>0.1679765871</v>
      </c>
      <c r="AF9" s="86">
        <f>SQRT((1/W9)^2*(Q9)^2 + (P9/(W9)^2)^2*(X9)^2)</f>
        <v>0.02009657013</v>
      </c>
    </row>
    <row r="10">
      <c r="B10" s="61"/>
      <c r="C10" s="62"/>
      <c r="D10" s="63"/>
      <c r="E10" s="64"/>
      <c r="F10" s="65"/>
      <c r="G10" s="65"/>
      <c r="H10" s="114" t="s">
        <v>92</v>
      </c>
      <c r="I10" s="115">
        <v>233368.171875</v>
      </c>
      <c r="J10" s="115">
        <v>250332.390625</v>
      </c>
      <c r="K10" s="115">
        <v>274899.0</v>
      </c>
      <c r="L10" s="75">
        <f t="shared" ref="L10:M10" si="11">I10-J10</f>
        <v>-16964.21875</v>
      </c>
      <c r="M10" s="76">
        <f t="shared" si="11"/>
        <v>-24566.60938</v>
      </c>
      <c r="N10" s="91"/>
      <c r="O10" s="92"/>
      <c r="P10" s="93"/>
      <c r="Q10" s="94"/>
      <c r="R10" s="116">
        <f t="shared" ref="R10:T10" si="12">I10-I11</f>
        <v>-133375.2031</v>
      </c>
      <c r="S10" s="116">
        <f t="shared" si="12"/>
        <v>-127995.8594</v>
      </c>
      <c r="T10" s="95">
        <f t="shared" si="12"/>
        <v>-123929.8438</v>
      </c>
      <c r="U10" s="96"/>
      <c r="V10" s="82"/>
      <c r="W10" s="82"/>
      <c r="X10" s="82"/>
      <c r="Y10" s="83"/>
      <c r="Z10" s="84"/>
      <c r="AA10" s="83"/>
      <c r="AB10" s="84"/>
      <c r="AC10" s="83"/>
      <c r="AD10" s="84"/>
      <c r="AE10" s="83"/>
      <c r="AF10" s="65"/>
    </row>
    <row r="11">
      <c r="B11" s="61"/>
      <c r="C11" s="62"/>
      <c r="D11" s="97"/>
      <c r="E11" s="98"/>
      <c r="F11" s="65"/>
      <c r="G11" s="65"/>
      <c r="H11" s="117" t="s">
        <v>93</v>
      </c>
      <c r="I11" s="118">
        <v>366743.375</v>
      </c>
      <c r="J11" s="118">
        <v>378328.25</v>
      </c>
      <c r="K11" s="118">
        <v>398828.84375</v>
      </c>
      <c r="L11" s="75">
        <f t="shared" ref="L11:M11" si="13">I11-J11</f>
        <v>-11584.875</v>
      </c>
      <c r="M11" s="76">
        <f t="shared" si="13"/>
        <v>-20500.59375</v>
      </c>
      <c r="N11" s="91"/>
      <c r="O11" s="92"/>
      <c r="P11" s="93"/>
      <c r="Q11" s="119"/>
      <c r="R11" s="120"/>
      <c r="S11" s="121"/>
      <c r="T11" s="121"/>
      <c r="U11" s="104"/>
      <c r="V11" s="105"/>
      <c r="W11" s="105"/>
      <c r="X11" s="105"/>
      <c r="Y11" s="106"/>
      <c r="Z11" s="107"/>
      <c r="AA11" s="106"/>
      <c r="AB11" s="107"/>
      <c r="AC11" s="106"/>
      <c r="AD11" s="107"/>
      <c r="AE11" s="106"/>
      <c r="AF11" s="65"/>
    </row>
    <row r="12">
      <c r="B12" s="66">
        <v>7.11</v>
      </c>
      <c r="C12" s="67">
        <f>B12*0.03 + 0.1</f>
        <v>0.3133</v>
      </c>
      <c r="D12" s="68">
        <f>11.11 + 65.22*B12</f>
        <v>474.8242</v>
      </c>
      <c r="E12" s="69">
        <f>SQRT(B12^2*'1_TaraturaMagnete'!$D$40^2 + '1_TaraturaMagnete'!$C$40^2*C12^2 +'1_TaraturaMagnete'!$G$40^2 )</f>
        <v>21.79795084</v>
      </c>
      <c r="F12" s="70">
        <f t="shared" ref="F12:G12" si="14">D12/1000</f>
        <v>0.4748242</v>
      </c>
      <c r="G12" s="70">
        <f t="shared" si="14"/>
        <v>0.02179795084</v>
      </c>
      <c r="H12" s="109" t="s">
        <v>91</v>
      </c>
      <c r="I12" s="122">
        <v>101984.34375</v>
      </c>
      <c r="J12" s="122">
        <v>124241.9375</v>
      </c>
      <c r="K12" s="122">
        <v>151196.453125</v>
      </c>
      <c r="L12" s="75">
        <f t="shared" ref="L12:M12" si="15">I12-J12</f>
        <v>-22257.59375</v>
      </c>
      <c r="M12" s="76">
        <f t="shared" si="15"/>
        <v>-26954.51563</v>
      </c>
      <c r="N12" s="77">
        <f>AVERAGE(L12:L14)</f>
        <v>-23109.92708</v>
      </c>
      <c r="O12" s="78">
        <f>(MAX(L12:L14)-MIN(L12:L14))/2</f>
        <v>1062.65625</v>
      </c>
      <c r="P12" s="79">
        <f>AVERAGE(M12:M14)</f>
        <v>-24307.02083</v>
      </c>
      <c r="Q12" s="78">
        <f>(MAX(M12:M14)-MIN(M12:M14))/2</f>
        <v>2404.117188</v>
      </c>
      <c r="R12" s="110">
        <f t="shared" ref="R12:T12" si="16">I12-I13</f>
        <v>-126626.6719</v>
      </c>
      <c r="S12" s="110">
        <f t="shared" si="16"/>
        <v>-128751.9844</v>
      </c>
      <c r="T12" s="110">
        <f t="shared" si="16"/>
        <v>-125617.7344</v>
      </c>
      <c r="U12" s="111">
        <f>AVERAGE(R12:T12)</f>
        <v>-126998.7969</v>
      </c>
      <c r="V12" s="112">
        <f>(MAX(R12:T12)-MIN(R12:T12))/2</f>
        <v>1567.125</v>
      </c>
      <c r="W12" s="112">
        <f>AVERAGE(R13:T13)</f>
        <v>-128491.1563</v>
      </c>
      <c r="X12" s="112">
        <f>(MAX(R13:T13)-MIN(R13:T13))/2</f>
        <v>1683.804688</v>
      </c>
      <c r="Y12" s="113">
        <f>N12/U12</f>
        <v>0.1819696537</v>
      </c>
      <c r="Z12" s="84">
        <f>SQRT((1/U12)^2*(O12)^2 + (N12/(U12)^2)^2*(V12)^2)</f>
        <v>0.008663502652</v>
      </c>
      <c r="AA12" s="113">
        <f>N12/W12</f>
        <v>0.1798561688</v>
      </c>
      <c r="AB12" s="84">
        <f>SQRT((1/W12)^2*(O12)^2 + (O12/(W12)^2)^2*(X12)^2)</f>
        <v>0.008270977709</v>
      </c>
      <c r="AC12" s="113">
        <f>P12/U12</f>
        <v>0.191395678</v>
      </c>
      <c r="AD12" s="85">
        <f>SQRT((1/U12)^2*(Q12)^2 + (P12/(U12)^2)^2*(V12)^2)</f>
        <v>0.01907699538</v>
      </c>
      <c r="AE12" s="113">
        <f>P12/W12</f>
        <v>0.1891727146</v>
      </c>
      <c r="AF12" s="86">
        <f>SQRT((1/W12)^2*(Q12)^2 + (P12/(W12)^2)^2*(X12)^2)</f>
        <v>0.01887388227</v>
      </c>
    </row>
    <row r="13">
      <c r="B13" s="61"/>
      <c r="C13" s="62"/>
      <c r="D13" s="63"/>
      <c r="E13" s="64"/>
      <c r="F13" s="65"/>
      <c r="G13" s="65"/>
      <c r="H13" s="114" t="s">
        <v>92</v>
      </c>
      <c r="I13" s="115">
        <v>228611.015625</v>
      </c>
      <c r="J13" s="115">
        <v>252993.921875</v>
      </c>
      <c r="K13" s="115">
        <v>276814.1875</v>
      </c>
      <c r="L13" s="75">
        <f t="shared" ref="L13:M13" si="17">I13-J13</f>
        <v>-24382.90625</v>
      </c>
      <c r="M13" s="76">
        <f t="shared" si="17"/>
        <v>-23820.26563</v>
      </c>
      <c r="N13" s="91"/>
      <c r="O13" s="92"/>
      <c r="P13" s="93"/>
      <c r="Q13" s="94"/>
      <c r="R13" s="116">
        <f t="shared" ref="R13:T13" si="18">I13-I14</f>
        <v>-130178.2344</v>
      </c>
      <c r="S13" s="116">
        <f t="shared" si="18"/>
        <v>-128484.6094</v>
      </c>
      <c r="T13" s="95">
        <f t="shared" si="18"/>
        <v>-126810.625</v>
      </c>
      <c r="U13" s="96"/>
      <c r="V13" s="82"/>
      <c r="W13" s="82"/>
      <c r="X13" s="82"/>
      <c r="Y13" s="83"/>
      <c r="Z13" s="84"/>
      <c r="AA13" s="83"/>
      <c r="AB13" s="84"/>
      <c r="AC13" s="83"/>
      <c r="AD13" s="84"/>
      <c r="AE13" s="83"/>
      <c r="AF13" s="65"/>
    </row>
    <row r="14">
      <c r="B14" s="61"/>
      <c r="C14" s="62"/>
      <c r="D14" s="97"/>
      <c r="E14" s="98"/>
      <c r="F14" s="65"/>
      <c r="G14" s="65"/>
      <c r="H14" s="117" t="s">
        <v>93</v>
      </c>
      <c r="I14" s="118">
        <v>358789.25</v>
      </c>
      <c r="J14" s="118">
        <v>381478.53125</v>
      </c>
      <c r="K14" s="118">
        <v>403624.8125</v>
      </c>
      <c r="L14" s="75">
        <f t="shared" ref="L14:M14" si="19">I14-J14</f>
        <v>-22689.28125</v>
      </c>
      <c r="M14" s="76">
        <f t="shared" si="19"/>
        <v>-22146.28125</v>
      </c>
      <c r="N14" s="91"/>
      <c r="O14" s="92"/>
      <c r="P14" s="93"/>
      <c r="Q14" s="119"/>
      <c r="R14" s="120"/>
      <c r="S14" s="121"/>
      <c r="T14" s="121"/>
      <c r="U14" s="104"/>
      <c r="V14" s="105"/>
      <c r="W14" s="105"/>
      <c r="X14" s="105"/>
      <c r="Y14" s="106"/>
      <c r="Z14" s="107"/>
      <c r="AA14" s="106"/>
      <c r="AB14" s="107"/>
      <c r="AC14" s="106"/>
      <c r="AD14" s="107"/>
      <c r="AE14" s="106"/>
      <c r="AF14" s="65"/>
    </row>
    <row r="15">
      <c r="B15" s="66">
        <v>8.0</v>
      </c>
      <c r="C15" s="67">
        <f>B15*0.03 + 0.1</f>
        <v>0.34</v>
      </c>
      <c r="D15" s="108">
        <f>11.11 + 65.22*B15</f>
        <v>532.87</v>
      </c>
      <c r="E15" s="69">
        <f>SQRT(B15^2*'1_TaraturaMagnete'!$D$40^2 + '1_TaraturaMagnete'!$C$40^2*C15^2 +'1_TaraturaMagnete'!$G$40^2 )</f>
        <v>23.72222666</v>
      </c>
      <c r="F15" s="70">
        <f t="shared" ref="F15:G15" si="20">D15/1000</f>
        <v>0.53287</v>
      </c>
      <c r="G15" s="70">
        <f t="shared" si="20"/>
        <v>0.02372222666</v>
      </c>
      <c r="H15" s="109" t="s">
        <v>91</v>
      </c>
      <c r="I15" s="122">
        <v>98802.476562</v>
      </c>
      <c r="J15" s="122">
        <v>125348.039062</v>
      </c>
      <c r="K15" s="122">
        <v>154441.34375</v>
      </c>
      <c r="L15" s="75">
        <f t="shared" ref="L15:M15" si="21">I15-J15</f>
        <v>-26545.5625</v>
      </c>
      <c r="M15" s="76">
        <f t="shared" si="21"/>
        <v>-29093.30469</v>
      </c>
      <c r="N15" s="77">
        <f>AVERAGE(L15:L17)</f>
        <v>-27821.94792</v>
      </c>
      <c r="O15" s="78">
        <f>(MAX(L15:L17)-MIN(L15:L17))/2</f>
        <v>2763.015625</v>
      </c>
      <c r="P15" s="79">
        <f>AVERAGE(M15:M17)</f>
        <v>-27194.21094</v>
      </c>
      <c r="Q15" s="78">
        <f>(MAX(M15:M17)-MIN(M15:M17))/2</f>
        <v>1577.878907</v>
      </c>
      <c r="R15" s="110">
        <f t="shared" ref="R15:T15" si="22">I15-I16</f>
        <v>-128218.7891</v>
      </c>
      <c r="S15" s="110">
        <f t="shared" si="22"/>
        <v>-127370.3516</v>
      </c>
      <c r="T15" s="110">
        <f t="shared" si="22"/>
        <v>-124214.5938</v>
      </c>
      <c r="U15" s="111">
        <f>AVERAGE(R15:T15)</f>
        <v>-126601.2448</v>
      </c>
      <c r="V15" s="112">
        <f>(MAX(R15:T15)-MIN(R15:T15))/2</f>
        <v>2002.097657</v>
      </c>
      <c r="W15" s="112">
        <f>AVERAGE(R16:T16)</f>
        <v>-128438.5</v>
      </c>
      <c r="X15" s="112">
        <f>(MAX(R16:T16)-MIN(R16:T16))/2</f>
        <v>3070.132813</v>
      </c>
      <c r="Y15" s="113">
        <f>N15/U15</f>
        <v>0.219760461</v>
      </c>
      <c r="Z15" s="84">
        <f>SQRT((1/U15)^2*(O15)^2 + (N15/(U15)^2)^2*(V15)^2)</f>
        <v>0.02209952698</v>
      </c>
      <c r="AA15" s="113">
        <f>N15/W15</f>
        <v>0.216616886</v>
      </c>
      <c r="AB15" s="84">
        <f>SQRT((1/W15)^2*(O15)^2 + (O15/(W15)^2)^2*(X15)^2)</f>
        <v>0.02151850789</v>
      </c>
      <c r="AC15" s="113">
        <f>P15/U15</f>
        <v>0.2148020818</v>
      </c>
      <c r="AD15" s="85">
        <f>SQRT((1/U15)^2*(Q15)^2 + (P15/(U15)^2)^2*(V15)^2)</f>
        <v>0.01291800406</v>
      </c>
      <c r="AE15" s="113">
        <f>P15/W15</f>
        <v>0.2117294342</v>
      </c>
      <c r="AF15" s="86">
        <f>SQRT((1/W15)^2*(Q15)^2 + (P15/(W15)^2)^2*(X15)^2)</f>
        <v>0.01328676167</v>
      </c>
    </row>
    <row r="16">
      <c r="B16" s="61"/>
      <c r="C16" s="62"/>
      <c r="D16" s="63"/>
      <c r="E16" s="64"/>
      <c r="F16" s="65"/>
      <c r="G16" s="65"/>
      <c r="H16" s="114" t="s">
        <v>92</v>
      </c>
      <c r="I16" s="115">
        <v>227021.265625</v>
      </c>
      <c r="J16" s="115">
        <v>252718.390625</v>
      </c>
      <c r="K16" s="115">
        <v>278655.9375</v>
      </c>
      <c r="L16" s="75">
        <f t="shared" ref="L16:M16" si="23">I16-J16</f>
        <v>-25697.125</v>
      </c>
      <c r="M16" s="76">
        <f t="shared" si="23"/>
        <v>-25937.54688</v>
      </c>
      <c r="N16" s="91"/>
      <c r="O16" s="92"/>
      <c r="P16" s="93"/>
      <c r="Q16" s="94"/>
      <c r="R16" s="116">
        <f t="shared" ref="R16:T16" si="24">I16-I17</f>
        <v>-124549.7344</v>
      </c>
      <c r="S16" s="116">
        <f t="shared" si="24"/>
        <v>-130075.7656</v>
      </c>
      <c r="T16" s="95">
        <f t="shared" si="24"/>
        <v>-130690</v>
      </c>
      <c r="U16" s="96"/>
      <c r="V16" s="82"/>
      <c r="W16" s="82"/>
      <c r="X16" s="82"/>
      <c r="Y16" s="83"/>
      <c r="Z16" s="84"/>
      <c r="AA16" s="83"/>
      <c r="AB16" s="84"/>
      <c r="AC16" s="83"/>
      <c r="AD16" s="84"/>
      <c r="AE16" s="83"/>
      <c r="AF16" s="65"/>
    </row>
    <row r="17">
      <c r="B17" s="61"/>
      <c r="C17" s="62"/>
      <c r="D17" s="97"/>
      <c r="E17" s="98"/>
      <c r="F17" s="65"/>
      <c r="G17" s="65"/>
      <c r="H17" s="117" t="s">
        <v>93</v>
      </c>
      <c r="I17" s="118">
        <v>351571.0</v>
      </c>
      <c r="J17" s="118">
        <v>382794.15625</v>
      </c>
      <c r="K17" s="118">
        <v>409345.9375</v>
      </c>
      <c r="L17" s="75">
        <f t="shared" ref="L17:M17" si="25">I17-J17</f>
        <v>-31223.15625</v>
      </c>
      <c r="M17" s="76">
        <f t="shared" si="25"/>
        <v>-26551.78125</v>
      </c>
      <c r="N17" s="91"/>
      <c r="O17" s="92"/>
      <c r="P17" s="93"/>
      <c r="Q17" s="119"/>
      <c r="R17" s="120"/>
      <c r="S17" s="121"/>
      <c r="T17" s="121"/>
      <c r="U17" s="104"/>
      <c r="V17" s="105"/>
      <c r="W17" s="105"/>
      <c r="X17" s="105"/>
      <c r="Y17" s="106"/>
      <c r="Z17" s="107"/>
      <c r="AA17" s="106"/>
      <c r="AB17" s="107"/>
      <c r="AC17" s="106"/>
      <c r="AD17" s="107"/>
      <c r="AE17" s="106"/>
      <c r="AF17" s="65"/>
    </row>
    <row r="18">
      <c r="B18" s="66">
        <v>9.1</v>
      </c>
      <c r="C18" s="67">
        <f>B18*0.03 + 0.1</f>
        <v>0.373</v>
      </c>
      <c r="D18" s="123">
        <f>11.11 + 65.22*B18</f>
        <v>604.612</v>
      </c>
      <c r="E18" s="56">
        <f>SQRT(B18^2*'1_TaraturaMagnete'!$D$40^2 + '1_TaraturaMagnete'!$C$40^2*C18^2 +'1_TaraturaMagnete'!$G$40^2 )</f>
        <v>26.106823</v>
      </c>
      <c r="F18" s="70">
        <f t="shared" ref="F18:G18" si="26">D18/1000</f>
        <v>0.604612</v>
      </c>
      <c r="G18" s="70">
        <f t="shared" si="26"/>
        <v>0.026106823</v>
      </c>
      <c r="H18" s="124" t="s">
        <v>91</v>
      </c>
      <c r="I18" s="122">
        <v>95394.757812</v>
      </c>
      <c r="J18" s="122">
        <v>123077.757812</v>
      </c>
      <c r="K18" s="122">
        <v>154979.75</v>
      </c>
      <c r="L18" s="75">
        <f t="shared" ref="L18:M18" si="27">I18-J18</f>
        <v>-27683</v>
      </c>
      <c r="M18" s="76">
        <f t="shared" si="27"/>
        <v>-31901.99219</v>
      </c>
      <c r="N18" s="77">
        <f>AVERAGE(L18:L20)</f>
        <v>-29169.68229</v>
      </c>
      <c r="O18" s="78">
        <f>(MAX(L18:L20)-MIN(L18:L20))/2</f>
        <v>2722.617188</v>
      </c>
      <c r="P18" s="79">
        <f>AVERAGE(M18:M20)</f>
        <v>-31198.59635</v>
      </c>
      <c r="Q18" s="78">
        <f>(MAX(M18:M20)-MIN(M18:M20))/2</f>
        <v>3920.757813</v>
      </c>
      <c r="R18" s="110">
        <f t="shared" ref="R18:T18" si="28">I18-I19</f>
        <v>-125415.2422</v>
      </c>
      <c r="S18" s="110">
        <f t="shared" si="28"/>
        <v>-130367.8828</v>
      </c>
      <c r="T18" s="110">
        <f t="shared" si="28"/>
        <v>-125392.0313</v>
      </c>
      <c r="U18" s="125">
        <f>AVERAGE(R18:T18)</f>
        <v>-127058.3854</v>
      </c>
      <c r="V18" s="105">
        <f>(MAX(R18:T18)-MIN(R18:T18))/2</f>
        <v>2487.925782</v>
      </c>
      <c r="W18" s="105">
        <f>AVERAGE(R19:T19)</f>
        <v>-126860.3698</v>
      </c>
      <c r="X18" s="112">
        <f>(MAX(R19:T19)-MIN(R19:T19))/2</f>
        <v>3920.757813</v>
      </c>
      <c r="Y18" s="126">
        <f>N18/U18</f>
        <v>0.2295769948</v>
      </c>
      <c r="Z18" s="86">
        <f>SQRT((1/U18)^2*(O18)^2 + (N18/(U18)^2)^2*(V18)^2)</f>
        <v>0.02189453506</v>
      </c>
      <c r="AA18" s="126">
        <f>N18/W18</f>
        <v>0.2299353402</v>
      </c>
      <c r="AB18" s="86">
        <f>SQRT((1/W18)^2*(O18)^2 + (O18/(W18)^2)^2*(X18)^2)</f>
        <v>0.02147177393</v>
      </c>
      <c r="AC18" s="126">
        <f>P18/U18</f>
        <v>0.245545355</v>
      </c>
      <c r="AD18" s="127">
        <f>SQRT((1/U18)^2*(Q18)^2 + (P18/(U18)^2)^2*(V18)^2)</f>
        <v>0.031230248</v>
      </c>
      <c r="AE18" s="126">
        <f>P18/W18</f>
        <v>0.2459286254</v>
      </c>
      <c r="AF18" s="86">
        <f>SQRT((1/W18)^2*(Q18)^2 + (P18/(W18)^2)^2*(X18)^2)</f>
        <v>0.0318269826</v>
      </c>
    </row>
    <row r="19">
      <c r="B19" s="128"/>
      <c r="C19" s="63"/>
      <c r="D19" s="63"/>
      <c r="E19" s="63"/>
      <c r="F19" s="63"/>
      <c r="G19" s="63"/>
      <c r="H19" s="114" t="s">
        <v>92</v>
      </c>
      <c r="I19" s="115">
        <v>220810.0</v>
      </c>
      <c r="J19" s="115">
        <v>253445.640625</v>
      </c>
      <c r="K19" s="115">
        <v>280371.78125</v>
      </c>
      <c r="L19" s="75">
        <f t="shared" ref="L19:M19" si="29">I19-J19</f>
        <v>-32635.64063</v>
      </c>
      <c r="M19" s="76">
        <f t="shared" si="29"/>
        <v>-26926.14063</v>
      </c>
      <c r="N19" s="91"/>
      <c r="O19" s="91"/>
      <c r="P19" s="93"/>
      <c r="Q19" s="94"/>
      <c r="R19" s="80">
        <f t="shared" ref="R19:T19" si="30">I19-I20</f>
        <v>-127876.6875</v>
      </c>
      <c r="S19" s="116">
        <f t="shared" si="30"/>
        <v>-122431.4531</v>
      </c>
      <c r="T19" s="116">
        <f t="shared" si="30"/>
        <v>-130272.9688</v>
      </c>
      <c r="U19" s="93"/>
      <c r="V19" s="93"/>
      <c r="W19" s="93"/>
      <c r="X19" s="96"/>
      <c r="Y19" s="63"/>
      <c r="Z19" s="63"/>
      <c r="AA19" s="63"/>
      <c r="AB19" s="63"/>
      <c r="AC19" s="63"/>
      <c r="AD19" s="63"/>
      <c r="AE19" s="63"/>
      <c r="AF19" s="63"/>
    </row>
    <row r="20">
      <c r="B20" s="129"/>
      <c r="C20" s="97"/>
      <c r="D20" s="97"/>
      <c r="E20" s="97"/>
      <c r="F20" s="97"/>
      <c r="G20" s="97"/>
      <c r="H20" s="117" t="s">
        <v>93</v>
      </c>
      <c r="I20" s="118">
        <v>348686.6875</v>
      </c>
      <c r="J20" s="118">
        <v>375877.09375</v>
      </c>
      <c r="K20" s="118">
        <v>410644.75</v>
      </c>
      <c r="L20" s="75">
        <f t="shared" ref="L20:M20" si="31">I20-J20</f>
        <v>-27190.40625</v>
      </c>
      <c r="M20" s="76">
        <f t="shared" si="31"/>
        <v>-34767.65625</v>
      </c>
      <c r="N20" s="130"/>
      <c r="O20" s="130"/>
      <c r="P20" s="104"/>
      <c r="Q20" s="131"/>
      <c r="R20" s="121"/>
      <c r="S20" s="121"/>
      <c r="T20" s="121"/>
      <c r="U20" s="132"/>
      <c r="V20" s="104"/>
      <c r="W20" s="104"/>
      <c r="X20" s="104"/>
      <c r="Y20" s="97"/>
      <c r="Z20" s="97"/>
      <c r="AA20" s="97"/>
      <c r="AB20" s="97"/>
      <c r="AC20" s="97"/>
      <c r="AD20" s="97"/>
      <c r="AE20" s="97"/>
      <c r="AF20" s="97"/>
    </row>
    <row r="21">
      <c r="K21" s="133"/>
      <c r="L21" s="134"/>
      <c r="M21" s="135"/>
      <c r="R21" s="25"/>
      <c r="S21" s="25"/>
      <c r="T21" s="25"/>
      <c r="U21" s="25"/>
      <c r="V21" s="25"/>
    </row>
    <row r="22">
      <c r="K22" s="133"/>
      <c r="L22" s="133"/>
      <c r="M22" s="25"/>
      <c r="R22" s="25"/>
      <c r="S22" s="25"/>
      <c r="T22" s="25"/>
      <c r="U22" s="25"/>
      <c r="V22" s="25"/>
    </row>
    <row r="26">
      <c r="B26" s="136" t="s">
        <v>94</v>
      </c>
      <c r="C26" s="137"/>
      <c r="D26" s="138"/>
      <c r="E26" s="138"/>
      <c r="F26" s="138"/>
      <c r="G26" s="138"/>
    </row>
    <row r="27">
      <c r="B27" s="139" t="s">
        <v>95</v>
      </c>
      <c r="C27" s="140" t="s">
        <v>96</v>
      </c>
      <c r="D27" s="141" t="s">
        <v>97</v>
      </c>
      <c r="E27" s="141" t="s">
        <v>98</v>
      </c>
      <c r="F27" s="141" t="s">
        <v>99</v>
      </c>
      <c r="G27" s="141" t="s">
        <v>100</v>
      </c>
      <c r="H27" s="141" t="s">
        <v>101</v>
      </c>
      <c r="I27" s="141" t="s">
        <v>102</v>
      </c>
      <c r="J27" s="141" t="s">
        <v>103</v>
      </c>
      <c r="K27" s="142" t="s">
        <v>104</v>
      </c>
      <c r="M27" s="1"/>
    </row>
    <row r="28">
      <c r="B28" s="143">
        <v>0.01111</v>
      </c>
      <c r="C28" s="144">
        <v>0.007057040438815971</v>
      </c>
      <c r="D28" s="145">
        <v>0.0</v>
      </c>
      <c r="E28" s="145">
        <v>0.0</v>
      </c>
      <c r="F28" s="145">
        <v>0.0</v>
      </c>
      <c r="G28" s="145">
        <v>0.0</v>
      </c>
      <c r="H28" s="145">
        <v>0.0</v>
      </c>
      <c r="I28" s="145">
        <v>0.0</v>
      </c>
      <c r="J28" s="145">
        <v>0.0</v>
      </c>
      <c r="K28" s="146">
        <v>0.0</v>
      </c>
      <c r="M28" s="1"/>
      <c r="N28" s="1"/>
    </row>
    <row r="29">
      <c r="B29" s="143">
        <v>0.33068800000000004</v>
      </c>
      <c r="C29" s="144">
        <v>0.01704980145968098</v>
      </c>
      <c r="D29" s="144">
        <v>0.13517955304513296</v>
      </c>
      <c r="E29" s="144">
        <v>0.03087855438145079</v>
      </c>
      <c r="F29" s="144">
        <v>0.13714261549030488</v>
      </c>
      <c r="G29" s="144">
        <v>0.03129517786681032</v>
      </c>
      <c r="H29" s="144">
        <v>0.1401530478353432</v>
      </c>
      <c r="I29" s="144">
        <v>0.018477022229483327</v>
      </c>
      <c r="J29" s="144">
        <v>0.14218833481909351</v>
      </c>
      <c r="K29" s="147">
        <v>0.019183332515218338</v>
      </c>
      <c r="M29" s="148" t="s">
        <v>105</v>
      </c>
      <c r="N29" s="149"/>
    </row>
    <row r="30">
      <c r="B30" s="143">
        <v>0.40243</v>
      </c>
      <c r="C30" s="144">
        <v>0.01940657720663322</v>
      </c>
      <c r="D30" s="144">
        <v>0.12659964829814302</v>
      </c>
      <c r="E30" s="144">
        <v>0.03174487502112805</v>
      </c>
      <c r="F30" s="144">
        <v>0.12499528574622967</v>
      </c>
      <c r="G30" s="144">
        <v>0.031270052177553964</v>
      </c>
      <c r="H30" s="144">
        <v>0.17013263121110417</v>
      </c>
      <c r="I30" s="144">
        <v>0.019647596134077964</v>
      </c>
      <c r="J30" s="144">
        <v>0.16797658713007504</v>
      </c>
      <c r="K30" s="147">
        <v>0.020096570126849015</v>
      </c>
      <c r="M30" s="150">
        <v>9.27400949E-24</v>
      </c>
      <c r="N30" s="151"/>
    </row>
    <row r="31">
      <c r="B31" s="143">
        <v>0.47482420000000003</v>
      </c>
      <c r="C31" s="144">
        <v>0.021797950840570283</v>
      </c>
      <c r="D31" s="144">
        <v>0.18196965366592835</v>
      </c>
      <c r="E31" s="144">
        <v>0.008663502652356887</v>
      </c>
      <c r="F31" s="144">
        <v>0.1798561687651817</v>
      </c>
      <c r="G31" s="144">
        <v>0.008270977708831962</v>
      </c>
      <c r="H31" s="144">
        <v>0.19139567800203486</v>
      </c>
      <c r="I31" s="144">
        <v>0.019076995381359457</v>
      </c>
      <c r="J31" s="144">
        <v>0.18917271462667948</v>
      </c>
      <c r="K31" s="147">
        <v>0.018873882268397996</v>
      </c>
      <c r="M31" s="152"/>
      <c r="N31" s="153"/>
    </row>
    <row r="32">
      <c r="B32" s="143">
        <v>0.53287</v>
      </c>
      <c r="C32" s="144">
        <v>0.02372222665829159</v>
      </c>
      <c r="D32" s="144">
        <v>0.21976046098422528</v>
      </c>
      <c r="E32" s="144">
        <v>0.022099526980936667</v>
      </c>
      <c r="F32" s="144">
        <v>0.21661688603235532</v>
      </c>
      <c r="G32" s="144">
        <v>0.02151850789369963</v>
      </c>
      <c r="H32" s="144">
        <v>0.21480208178320442</v>
      </c>
      <c r="I32" s="144">
        <v>0.012918004055668125</v>
      </c>
      <c r="J32" s="144">
        <v>0.21172943422468082</v>
      </c>
      <c r="K32" s="147">
        <v>0.013286761665470808</v>
      </c>
      <c r="L32" s="137"/>
      <c r="M32" s="154"/>
      <c r="O32" s="137"/>
      <c r="P32" s="137"/>
      <c r="Q32" s="137"/>
    </row>
    <row r="33">
      <c r="B33" s="155">
        <v>0.6046119999999999</v>
      </c>
      <c r="C33" s="156">
        <v>0.026106823000707362</v>
      </c>
      <c r="D33" s="156">
        <v>0.22957699482748078</v>
      </c>
      <c r="E33" s="156">
        <v>0.021894535063591257</v>
      </c>
      <c r="F33" s="156">
        <v>0.22993534024510462</v>
      </c>
      <c r="G33" s="156">
        <v>0.02147177392702492</v>
      </c>
      <c r="H33" s="156">
        <v>0.2455453550109339</v>
      </c>
      <c r="I33" s="156">
        <v>0.031230247999438444</v>
      </c>
      <c r="J33" s="156">
        <v>0.24592862535059976</v>
      </c>
      <c r="K33" s="157">
        <v>0.03182698259885425</v>
      </c>
    </row>
    <row r="34">
      <c r="J34" s="137"/>
      <c r="K34" s="137"/>
      <c r="L34" s="137"/>
      <c r="M34" s="137"/>
      <c r="N34" s="137"/>
      <c r="O34" s="137"/>
      <c r="P34" s="137"/>
      <c r="Q34" s="137"/>
    </row>
    <row r="35">
      <c r="L35" s="137"/>
      <c r="M35" s="137"/>
      <c r="N35" s="137"/>
      <c r="O35" s="137"/>
      <c r="P35" s="137"/>
      <c r="Q35" s="137"/>
    </row>
    <row r="37" ht="20.25" customHeight="1">
      <c r="B37" s="158" t="s">
        <v>106</v>
      </c>
      <c r="C37" s="13"/>
      <c r="D37" s="13"/>
      <c r="E37" s="14"/>
      <c r="G37" s="158" t="s">
        <v>107</v>
      </c>
      <c r="H37" s="13"/>
      <c r="I37" s="13"/>
      <c r="J37" s="14"/>
      <c r="K37" s="137"/>
      <c r="L37" s="158" t="s">
        <v>108</v>
      </c>
      <c r="M37" s="13"/>
      <c r="N37" s="13"/>
      <c r="O37" s="14"/>
      <c r="P37" s="137"/>
      <c r="Q37" s="158" t="s">
        <v>109</v>
      </c>
      <c r="R37" s="13"/>
      <c r="S37" s="13"/>
      <c r="T37" s="14"/>
    </row>
    <row r="38">
      <c r="B38" s="159" t="s">
        <v>110</v>
      </c>
      <c r="C38" s="160" t="s">
        <v>111</v>
      </c>
      <c r="D38" s="159" t="s">
        <v>112</v>
      </c>
      <c r="E38" s="159" t="s">
        <v>113</v>
      </c>
      <c r="F38" s="161"/>
      <c r="G38" s="159" t="s">
        <v>110</v>
      </c>
      <c r="H38" s="160" t="s">
        <v>111</v>
      </c>
      <c r="I38" s="159" t="s">
        <v>112</v>
      </c>
      <c r="J38" s="159" t="s">
        <v>113</v>
      </c>
      <c r="K38" s="137"/>
      <c r="L38" s="159" t="s">
        <v>110</v>
      </c>
      <c r="M38" s="160" t="s">
        <v>111</v>
      </c>
      <c r="N38" s="159" t="s">
        <v>112</v>
      </c>
      <c r="O38" s="159" t="s">
        <v>113</v>
      </c>
      <c r="P38" s="137"/>
      <c r="Q38" s="159" t="s">
        <v>110</v>
      </c>
      <c r="R38" s="160" t="s">
        <v>111</v>
      </c>
      <c r="S38" s="159" t="s">
        <v>112</v>
      </c>
      <c r="T38" s="159" t="s">
        <v>113</v>
      </c>
    </row>
    <row r="39">
      <c r="B39" s="162">
        <v>-0.004</v>
      </c>
      <c r="C39" s="162">
        <v>0.003</v>
      </c>
      <c r="D39" s="162">
        <v>0.394</v>
      </c>
      <c r="E39" s="162">
        <v>0.02</v>
      </c>
      <c r="F39" s="163"/>
      <c r="G39" s="162">
        <v>-0.004</v>
      </c>
      <c r="H39" s="162">
        <v>0.003</v>
      </c>
      <c r="I39" s="162">
        <v>0.391</v>
      </c>
      <c r="J39" s="162">
        <v>0.019</v>
      </c>
      <c r="L39" s="162">
        <v>-0.005</v>
      </c>
      <c r="M39" s="162">
        <v>0.003</v>
      </c>
      <c r="N39" s="162">
        <v>0.418</v>
      </c>
      <c r="O39" s="162">
        <v>0.021</v>
      </c>
      <c r="Q39" s="162">
        <v>-0.005</v>
      </c>
      <c r="R39" s="162">
        <v>0.003</v>
      </c>
      <c r="S39" s="162">
        <v>0.415</v>
      </c>
      <c r="T39" s="162">
        <v>0.022</v>
      </c>
    </row>
    <row r="40">
      <c r="D40" s="137"/>
      <c r="E40" s="137"/>
      <c r="J40" s="137"/>
      <c r="K40" s="137"/>
    </row>
    <row r="41">
      <c r="C41" s="164" t="s">
        <v>114</v>
      </c>
      <c r="D41" s="165" t="s">
        <v>115</v>
      </c>
      <c r="E41" s="137"/>
      <c r="H41" s="164" t="s">
        <v>114</v>
      </c>
      <c r="I41" s="165" t="s">
        <v>115</v>
      </c>
      <c r="J41" s="137"/>
      <c r="K41" s="137"/>
      <c r="M41" s="165" t="s">
        <v>114</v>
      </c>
      <c r="N41" s="165" t="s">
        <v>115</v>
      </c>
      <c r="R41" s="165" t="s">
        <v>114</v>
      </c>
      <c r="S41" s="165" t="s">
        <v>115</v>
      </c>
    </row>
    <row r="42">
      <c r="C42" s="166">
        <f> (D39*6.626*10^(-34)*2.998*10^8)/(2*3*10^(-3)*1.456*1)</f>
        <v>0</v>
      </c>
      <c r="D42" s="166">
        <f>SQRT(((6.626*10^(-34)*2.998*10^8)/(2*3*10^(-3)*1.456*1))^2*(E39)^2)</f>
        <v>0</v>
      </c>
      <c r="E42" s="10">
        <f>1/(D42)^2</f>
        <v>4.83503E+48</v>
      </c>
      <c r="H42" s="166">
        <f> (I39*6.626*10^(-34)*2.998*10^8)/(2*3*10^(-3)*1.456*1)</f>
        <v>0</v>
      </c>
      <c r="I42" s="166">
        <f>SQRT(((6.626*10^(-34)*2.998*10^8)/(2*3*10^(-3)*1.456*1))^2*(J39)^2)</f>
        <v>0</v>
      </c>
      <c r="J42" s="10">
        <f>1/(I42)^2</f>
        <v>5.35737E+48</v>
      </c>
      <c r="M42" s="166">
        <f> (N39*6.626*10^(-34)*2.998*10^8)/(2*3*10^(-3)*1.456*1)</f>
        <v>0</v>
      </c>
      <c r="N42" s="166">
        <f>SQRT(((6.626*10^(-34)*2.998*10^8)/(2*3*10^(-3)*1.456*1))^2*(O39)^2)</f>
        <v>0</v>
      </c>
      <c r="O42" s="10">
        <f>1/(N42)^2</f>
        <v>4.38551E+48</v>
      </c>
      <c r="R42" s="166">
        <f> (S39*6.626*10^(-34)*2.998*10^8)/(2*3*10^(-3)*1.456*1)</f>
        <v>0</v>
      </c>
      <c r="S42" s="166">
        <f>SQRT(((6.626*10^(-34)*2.998*10^8)/(2*3*10^(-3)*1.456*1))^2*(T39)^2)</f>
        <v>0</v>
      </c>
      <c r="T42" s="10">
        <f>1/(S42)^2</f>
        <v>3.99589E+48</v>
      </c>
    </row>
    <row r="44">
      <c r="C44" s="158" t="s">
        <v>116</v>
      </c>
      <c r="D44" s="14"/>
      <c r="H44" s="158" t="s">
        <v>117</v>
      </c>
      <c r="I44" s="14"/>
      <c r="M44" s="158" t="s">
        <v>118</v>
      </c>
      <c r="N44" s="14"/>
      <c r="R44" s="158" t="s">
        <v>119</v>
      </c>
      <c r="S44" s="14"/>
    </row>
    <row r="45">
      <c r="C45" s="167" t="s">
        <v>120</v>
      </c>
      <c r="D45" s="168">
        <f>ABS(C42-$M$30)/D42</f>
        <v>0.692341978</v>
      </c>
      <c r="H45" s="167" t="s">
        <v>120</v>
      </c>
      <c r="I45" s="168">
        <f>ABS(H42-$M$30)/I42</f>
        <v>0.8866757663</v>
      </c>
      <c r="M45" s="167" t="s">
        <v>120</v>
      </c>
      <c r="N45" s="168">
        <f>ABS(M42-$M$30)/N42</f>
        <v>0.4834838305</v>
      </c>
      <c r="R45" s="167" t="s">
        <v>120</v>
      </c>
      <c r="S45" s="168">
        <f>ABS(R42-$M$30)/S42</f>
        <v>0.3251436563</v>
      </c>
    </row>
    <row r="47">
      <c r="C47" s="153">
        <f>(C42*E42+H42*J42+M42*O42+R42*T42)/(E42+J42+O42+T42)</f>
        <v>0</v>
      </c>
      <c r="D47" s="10">
        <f>SQRT(1/(E42+J42+O42+T42))</f>
        <v>0</v>
      </c>
    </row>
  </sheetData>
  <mergeCells count="12">
    <mergeCell ref="B37:E37"/>
    <mergeCell ref="C44:D44"/>
    <mergeCell ref="H44:I44"/>
    <mergeCell ref="M44:N44"/>
    <mergeCell ref="R44:S44"/>
    <mergeCell ref="R2:T2"/>
    <mergeCell ref="M27:N27"/>
    <mergeCell ref="M29:N29"/>
    <mergeCell ref="M30:N30"/>
    <mergeCell ref="G37:J37"/>
    <mergeCell ref="L37:O37"/>
    <mergeCell ref="Q37:T37"/>
  </mergeCells>
  <conditionalFormatting sqref="D45 I45 N45 S45">
    <cfRule type="cellIs" dxfId="3" priority="1" operator="lessThan">
      <formula>1.96</formula>
    </cfRule>
  </conditionalFormatting>
  <conditionalFormatting sqref="D45 I45 N45 S45">
    <cfRule type="cellIs" dxfId="1" priority="2" operator="greaterThanOrEqual">
      <formula>1.96</formula>
    </cfRule>
  </conditionalFormatting>
  <conditionalFormatting sqref="I45 N45 S45">
    <cfRule type="notContainsBlanks" dxfId="2" priority="3">
      <formula>LEN(TRIM(I45))&gt;0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15" max="17" width="14.0"/>
  </cols>
  <sheetData>
    <row r="2">
      <c r="B2" s="47" t="s">
        <v>121</v>
      </c>
      <c r="C2" s="47" t="s">
        <v>122</v>
      </c>
      <c r="D2" s="48" t="s">
        <v>123</v>
      </c>
      <c r="E2" s="169" t="s">
        <v>124</v>
      </c>
      <c r="F2" s="48" t="s">
        <v>125</v>
      </c>
      <c r="G2" s="47" t="s">
        <v>126</v>
      </c>
      <c r="H2" s="48" t="s">
        <v>69</v>
      </c>
      <c r="I2" s="48" t="s">
        <v>70</v>
      </c>
      <c r="J2" s="49" t="s">
        <v>127</v>
      </c>
      <c r="K2" s="49" t="s">
        <v>128</v>
      </c>
      <c r="L2" s="170" t="s">
        <v>129</v>
      </c>
      <c r="M2" s="171" t="s">
        <v>130</v>
      </c>
      <c r="N2" s="171" t="s">
        <v>131</v>
      </c>
      <c r="O2" s="171" t="s">
        <v>132</v>
      </c>
      <c r="P2" s="171" t="s">
        <v>133</v>
      </c>
      <c r="Q2" s="53" t="s">
        <v>134</v>
      </c>
      <c r="R2" s="172" t="s">
        <v>135</v>
      </c>
      <c r="T2" s="47" t="s">
        <v>121</v>
      </c>
      <c r="U2" s="47" t="s">
        <v>122</v>
      </c>
      <c r="V2" s="48" t="s">
        <v>123</v>
      </c>
      <c r="W2" s="169" t="s">
        <v>124</v>
      </c>
      <c r="X2" s="48" t="s">
        <v>125</v>
      </c>
      <c r="Y2" s="47" t="s">
        <v>126</v>
      </c>
      <c r="Z2" s="48" t="s">
        <v>136</v>
      </c>
      <c r="AA2" s="48" t="s">
        <v>137</v>
      </c>
      <c r="AB2" s="173" t="s">
        <v>138</v>
      </c>
      <c r="AC2" s="173" t="s">
        <v>139</v>
      </c>
      <c r="AD2" s="49" t="s">
        <v>127</v>
      </c>
      <c r="AE2" s="49" t="s">
        <v>128</v>
      </c>
      <c r="AF2" s="170" t="s">
        <v>129</v>
      </c>
      <c r="AG2" s="171" t="s">
        <v>130</v>
      </c>
      <c r="AH2" s="171" t="s">
        <v>131</v>
      </c>
      <c r="AI2" s="171" t="s">
        <v>132</v>
      </c>
      <c r="AJ2" s="171" t="s">
        <v>133</v>
      </c>
      <c r="AK2" s="53" t="s">
        <v>134</v>
      </c>
      <c r="AL2" s="172" t="s">
        <v>135</v>
      </c>
    </row>
    <row r="3">
      <c r="B3" s="54">
        <v>2.16</v>
      </c>
      <c r="C3" s="174">
        <f>B3*0.03 + 0.1</f>
        <v>0.1648</v>
      </c>
      <c r="D3" s="123">
        <f>11.11 + 65.22*B3</f>
        <v>151.9852</v>
      </c>
      <c r="E3" s="56">
        <f>SQRT(B3^2*'1_TaraturaMagnete'!$D$40^2 + '1_TaraturaMagnete'!$C$40^2*C3^2 +'1_TaraturaMagnete'!$G$40^2 )</f>
        <v>11.28888126</v>
      </c>
      <c r="F3" s="175">
        <f t="shared" ref="F3:G3" si="1">D3/1000</f>
        <v>0.1519852</v>
      </c>
      <c r="G3" s="176">
        <f t="shared" si="1"/>
        <v>0.01128888126</v>
      </c>
      <c r="H3" s="177">
        <v>118492.132812</v>
      </c>
      <c r="I3" s="178">
        <v>133386.484375</v>
      </c>
      <c r="J3" s="179">
        <f t="shared" ref="J3:J26" si="7">H3-I3</f>
        <v>-14894.35156</v>
      </c>
      <c r="K3" s="180">
        <f>AVERAGE(J3:J5)</f>
        <v>-15931.23177</v>
      </c>
      <c r="L3" s="116">
        <f>(MAX(J3:J5) - MIN(J3:J5))/2</f>
        <v>1000.792969</v>
      </c>
      <c r="M3" s="179">
        <f t="shared" ref="M3:N3" si="2">H4-H3</f>
        <v>124272.4297</v>
      </c>
      <c r="N3" s="179">
        <f t="shared" si="2"/>
        <v>125381.4844</v>
      </c>
      <c r="O3" s="181">
        <f>AVERAGE(M3:N4)</f>
        <v>125475.7676</v>
      </c>
      <c r="P3" s="116">
        <f>(MAX(M3:N4)-MIN(M3:N4))/2</f>
        <v>1149.207031</v>
      </c>
      <c r="Q3" s="182">
        <f>K3/O3</f>
        <v>-0.1269666014</v>
      </c>
      <c r="R3" s="32">
        <f>SQRT((1/O3)^2*(L3)^2 + (K3/(O3)^2)^2*(P3)^2)</f>
        <v>0.00806031013</v>
      </c>
      <c r="T3" s="174">
        <f t="shared" ref="T3:W3" si="3">B3</f>
        <v>2.16</v>
      </c>
      <c r="U3" s="174">
        <f t="shared" si="3"/>
        <v>0.1648</v>
      </c>
      <c r="V3" s="183">
        <f t="shared" si="3"/>
        <v>151.9852</v>
      </c>
      <c r="W3" s="183">
        <f t="shared" si="3"/>
        <v>11.28888126</v>
      </c>
      <c r="X3" s="184">
        <f t="shared" ref="X3:Y3" si="4">V3/1000</f>
        <v>0.1519852</v>
      </c>
      <c r="Y3" s="175">
        <f t="shared" si="4"/>
        <v>0.01128888126</v>
      </c>
      <c r="Z3" s="185">
        <v>194.209213</v>
      </c>
      <c r="AA3" s="186">
        <v>206.05397</v>
      </c>
      <c r="AB3" s="186">
        <f t="shared" ref="AB3:AC3" si="5">Z3^2</f>
        <v>37717.21841</v>
      </c>
      <c r="AC3" s="186">
        <f t="shared" si="5"/>
        <v>42458.23855</v>
      </c>
      <c r="AD3" s="179">
        <f t="shared" ref="AD3:AD26" si="10">AB3-AC3</f>
        <v>-4741.020139</v>
      </c>
      <c r="AE3" s="180">
        <f>AVERAGE(AD3:AD5)</f>
        <v>-5071.065686</v>
      </c>
      <c r="AF3" s="116">
        <f>(MAX(AD3:AD5) - MIN(AD3:AD5))/2</f>
        <v>318.5575936</v>
      </c>
      <c r="AG3" s="179">
        <f t="shared" ref="AG3:AH3" si="6">AB4-AB3</f>
        <v>39557.14418</v>
      </c>
      <c r="AH3" s="179">
        <f t="shared" si="6"/>
        <v>39910.16564</v>
      </c>
      <c r="AI3" s="181">
        <f>AVERAGE(AG3:AH4)</f>
        <v>39940.17621</v>
      </c>
      <c r="AJ3" s="116">
        <f>(MAX(AG3:AH4)-MIN(AG3:AH4))/2</f>
        <v>365.8000978</v>
      </c>
      <c r="AK3" s="182">
        <f>AE3/AI3</f>
        <v>-0.1269665326</v>
      </c>
      <c r="AL3" s="32">
        <f>SQRT((1/AI3)^2*(AF3)^2 + (AE3/(AI3)^2)^2*(AJ3)^2)</f>
        <v>0.008060191985</v>
      </c>
    </row>
    <row r="4">
      <c r="B4" s="54"/>
      <c r="C4" s="174"/>
      <c r="D4" s="187"/>
      <c r="E4" s="56"/>
      <c r="F4" s="63"/>
      <c r="H4" s="188">
        <v>242764.5625</v>
      </c>
      <c r="I4" s="188">
        <v>258767.96875</v>
      </c>
      <c r="J4" s="179">
        <f t="shared" si="7"/>
        <v>-16003.40625</v>
      </c>
      <c r="K4" s="43"/>
      <c r="L4" s="43"/>
      <c r="M4" s="179">
        <f t="shared" ref="M4:N4" si="8">H5-H4</f>
        <v>125678.3125</v>
      </c>
      <c r="N4" s="179">
        <f t="shared" si="8"/>
        <v>126570.8438</v>
      </c>
      <c r="O4" s="43"/>
      <c r="P4" s="189"/>
      <c r="Q4" s="189"/>
      <c r="R4" s="189"/>
      <c r="T4" s="190"/>
      <c r="U4" s="190"/>
      <c r="V4" s="191"/>
      <c r="W4" s="191"/>
      <c r="X4" s="63"/>
      <c r="Z4" s="192">
        <v>277.982666</v>
      </c>
      <c r="AA4" s="193">
        <v>286.998962</v>
      </c>
      <c r="AB4" s="193">
        <f t="shared" ref="AB4:AC4" si="9">Z4^2</f>
        <v>77274.3626</v>
      </c>
      <c r="AC4" s="193">
        <f t="shared" si="9"/>
        <v>82368.40419</v>
      </c>
      <c r="AD4" s="179">
        <f t="shared" si="10"/>
        <v>-5094.041593</v>
      </c>
      <c r="AE4" s="43"/>
      <c r="AF4" s="43"/>
      <c r="AG4" s="179">
        <f t="shared" ref="AG4:AH4" si="11">AB5-AB4</f>
        <v>40004.65064</v>
      </c>
      <c r="AH4" s="179">
        <f t="shared" si="11"/>
        <v>40288.74438</v>
      </c>
      <c r="AI4" s="43"/>
      <c r="AJ4" s="189"/>
      <c r="AK4" s="189"/>
      <c r="AL4" s="189"/>
    </row>
    <row r="5">
      <c r="B5" s="194"/>
      <c r="C5" s="195"/>
      <c r="D5" s="196"/>
      <c r="E5" s="197"/>
      <c r="F5" s="97"/>
      <c r="G5" s="6"/>
      <c r="H5" s="198">
        <v>368442.875</v>
      </c>
      <c r="I5" s="198">
        <v>385338.8125</v>
      </c>
      <c r="J5" s="179">
        <f t="shared" si="7"/>
        <v>-16895.9375</v>
      </c>
      <c r="K5" s="189"/>
      <c r="L5" s="189"/>
      <c r="M5" s="80"/>
      <c r="N5" s="80"/>
      <c r="O5" s="199"/>
      <c r="P5" s="80"/>
      <c r="Q5" s="200"/>
      <c r="R5" s="201"/>
      <c r="T5" s="190"/>
      <c r="U5" s="190"/>
      <c r="V5" s="191"/>
      <c r="W5" s="191"/>
      <c r="X5" s="63"/>
      <c r="Z5" s="202">
        <v>342.460236</v>
      </c>
      <c r="AA5" s="203">
        <v>350.224426</v>
      </c>
      <c r="AB5" s="203">
        <f t="shared" ref="AB5:AC5" si="12">Z5^2</f>
        <v>117279.0132</v>
      </c>
      <c r="AC5" s="202">
        <f t="shared" si="12"/>
        <v>122657.1486</v>
      </c>
      <c r="AD5" s="179">
        <f t="shared" si="10"/>
        <v>-5378.135326</v>
      </c>
      <c r="AE5" s="189"/>
      <c r="AF5" s="189"/>
      <c r="AG5" s="80"/>
      <c r="AH5" s="80"/>
      <c r="AI5" s="199"/>
      <c r="AJ5" s="80"/>
      <c r="AK5" s="200"/>
      <c r="AL5" s="201"/>
    </row>
    <row r="6">
      <c r="B6" s="54">
        <v>2.94</v>
      </c>
      <c r="C6" s="174">
        <f>B6*0.03 + 0.1</f>
        <v>0.1882</v>
      </c>
      <c r="D6" s="123">
        <f>11.11 + 65.22*B6</f>
        <v>202.8568</v>
      </c>
      <c r="E6" s="56">
        <f>SQRT(B6^2*'1_TaraturaMagnete'!$D$40^2 + '1_TaraturaMagnete'!$C$40^2*C6^2 +'1_TaraturaMagnete'!$G$40^2 )</f>
        <v>12.9049537</v>
      </c>
      <c r="F6" s="175">
        <f t="shared" ref="F6:G6" si="13">D6/1000</f>
        <v>0.2028568</v>
      </c>
      <c r="G6" s="176">
        <f t="shared" si="13"/>
        <v>0.0129049537</v>
      </c>
      <c r="H6" s="204">
        <v>114495.375</v>
      </c>
      <c r="I6" s="204">
        <v>134129.546875</v>
      </c>
      <c r="J6" s="116">
        <f t="shared" si="7"/>
        <v>-19634.17188</v>
      </c>
      <c r="K6" s="180">
        <f>AVERAGE(J6:J8)</f>
        <v>-21916.97396</v>
      </c>
      <c r="L6" s="116">
        <f>(MAX(J6:J8) - MIN(J6:J8))/2</f>
        <v>2397.179688</v>
      </c>
      <c r="M6" s="116">
        <f t="shared" ref="M6:N6" si="14">H7-H6</f>
        <v>124953.9219</v>
      </c>
      <c r="N6" s="116">
        <f t="shared" si="14"/>
        <v>127007.9688</v>
      </c>
      <c r="O6" s="180">
        <f>AVERAGE(M6:N7)</f>
        <v>125610.8555</v>
      </c>
      <c r="P6" s="116">
        <f>(MAX(M6:N7)-MIN(M6:N7))/2</f>
        <v>1568.679688</v>
      </c>
      <c r="Q6" s="182">
        <f>K6/O6</f>
        <v>-0.1744831199</v>
      </c>
      <c r="R6" s="32">
        <f>SQRT((1/O6)^2*(L6)^2 + (K6/(O6)^2)^2*(P6)^2)</f>
        <v>0.0192081725</v>
      </c>
      <c r="T6" s="174">
        <f t="shared" ref="T6:W6" si="15">B6</f>
        <v>2.94</v>
      </c>
      <c r="U6" s="174">
        <f t="shared" si="15"/>
        <v>0.1882</v>
      </c>
      <c r="V6" s="183">
        <f t="shared" si="15"/>
        <v>202.8568</v>
      </c>
      <c r="W6" s="183">
        <f t="shared" si="15"/>
        <v>12.9049537</v>
      </c>
      <c r="X6" s="175">
        <f t="shared" ref="X6:Y6" si="16">V6/1000</f>
        <v>0.2028568</v>
      </c>
      <c r="Y6" s="175">
        <f t="shared" si="16"/>
        <v>0.0129049537</v>
      </c>
      <c r="Z6" s="185">
        <v>190.905762</v>
      </c>
      <c r="AA6" s="186">
        <v>206.627106</v>
      </c>
      <c r="AB6" s="186">
        <f t="shared" ref="AB6:AC6" si="17">Z6^2</f>
        <v>36445.00996</v>
      </c>
      <c r="AC6" s="186">
        <f t="shared" si="17"/>
        <v>42694.76093</v>
      </c>
      <c r="AD6" s="116">
        <f t="shared" si="10"/>
        <v>-6249.750969</v>
      </c>
      <c r="AE6" s="180">
        <f>AVERAGE(AD6:AD8)</f>
        <v>-6976.390242</v>
      </c>
      <c r="AF6" s="116">
        <f>(MAX(AD6:AD8) - MIN(AD6:AD8))/2</f>
        <v>763.047073</v>
      </c>
      <c r="AG6" s="116">
        <f t="shared" ref="AG6:AH6" si="18">AB7-AB6</f>
        <v>39774.07034</v>
      </c>
      <c r="AH6" s="116">
        <f t="shared" si="18"/>
        <v>40427.89401</v>
      </c>
      <c r="AI6" s="180">
        <f>AVERAGE(AG6:AH7)</f>
        <v>39983.17638</v>
      </c>
      <c r="AJ6" s="116">
        <f>(MAX(AG6:AH7)-MIN(AG6:AH7))/2</f>
        <v>499.3293353</v>
      </c>
      <c r="AK6" s="182">
        <f>AE6/AI6</f>
        <v>-0.174483142</v>
      </c>
      <c r="AL6" s="32">
        <f>SQRT((1/AI6)^2*(AF6)^2 + (AE6/(AI6)^2)^2*(AJ6)^2)</f>
        <v>0.01920820123</v>
      </c>
    </row>
    <row r="7">
      <c r="B7" s="54"/>
      <c r="C7" s="174"/>
      <c r="D7" s="187"/>
      <c r="E7" s="56"/>
      <c r="F7" s="63"/>
      <c r="H7" s="188">
        <v>239449.296875</v>
      </c>
      <c r="I7" s="188">
        <v>261137.515625</v>
      </c>
      <c r="J7" s="179">
        <f t="shared" si="7"/>
        <v>-21688.21875</v>
      </c>
      <c r="K7" s="43"/>
      <c r="L7" s="43"/>
      <c r="M7" s="110">
        <f t="shared" ref="M7:N7" si="19">H8-H7</f>
        <v>123870.6094</v>
      </c>
      <c r="N7" s="110">
        <f t="shared" si="19"/>
        <v>126610.9219</v>
      </c>
      <c r="O7" s="189"/>
      <c r="P7" s="189"/>
      <c r="Q7" s="189"/>
      <c r="R7" s="189"/>
      <c r="T7" s="190"/>
      <c r="U7" s="190"/>
      <c r="V7" s="191"/>
      <c r="W7" s="191"/>
      <c r="X7" s="63"/>
      <c r="Z7" s="192">
        <v>276.078033</v>
      </c>
      <c r="AA7" s="193">
        <v>288.309998</v>
      </c>
      <c r="AB7" s="193">
        <f t="shared" ref="AB7:AC7" si="20">Z7^2</f>
        <v>76219.08031</v>
      </c>
      <c r="AC7" s="193">
        <f t="shared" si="20"/>
        <v>83122.65495</v>
      </c>
      <c r="AD7" s="179">
        <f t="shared" si="10"/>
        <v>-6903.574642</v>
      </c>
      <c r="AE7" s="43"/>
      <c r="AF7" s="43"/>
      <c r="AG7" s="110">
        <f t="shared" ref="AG7:AH7" si="21">AB8-AB7</f>
        <v>39429.23534</v>
      </c>
      <c r="AH7" s="110">
        <f t="shared" si="21"/>
        <v>40301.50582</v>
      </c>
      <c r="AI7" s="189"/>
      <c r="AJ7" s="189"/>
      <c r="AK7" s="189"/>
      <c r="AL7" s="189"/>
    </row>
    <row r="8">
      <c r="B8" s="194"/>
      <c r="C8" s="195"/>
      <c r="D8" s="196"/>
      <c r="E8" s="197"/>
      <c r="F8" s="97"/>
      <c r="G8" s="6"/>
      <c r="H8" s="198">
        <v>363319.90625</v>
      </c>
      <c r="I8" s="198">
        <v>387748.4375</v>
      </c>
      <c r="J8" s="179">
        <f t="shared" si="7"/>
        <v>-24428.53125</v>
      </c>
      <c r="K8" s="189"/>
      <c r="L8" s="189"/>
      <c r="M8" s="179"/>
      <c r="N8" s="179"/>
      <c r="O8" s="181"/>
      <c r="P8" s="80"/>
      <c r="Q8" s="205"/>
      <c r="R8" s="201"/>
      <c r="T8" s="190"/>
      <c r="U8" s="190"/>
      <c r="V8" s="191"/>
      <c r="W8" s="191"/>
      <c r="X8" s="63"/>
      <c r="Z8" s="202">
        <v>340.071045</v>
      </c>
      <c r="AA8" s="203">
        <v>351.317749</v>
      </c>
      <c r="AB8" s="203">
        <f t="shared" ref="AB8:AC8" si="22">Z8^2</f>
        <v>115648.3156</v>
      </c>
      <c r="AC8" s="202">
        <f t="shared" si="22"/>
        <v>123424.1608</v>
      </c>
      <c r="AD8" s="179">
        <f t="shared" si="10"/>
        <v>-7775.845115</v>
      </c>
      <c r="AE8" s="189"/>
      <c r="AF8" s="189"/>
      <c r="AG8" s="179"/>
      <c r="AH8" s="179"/>
      <c r="AI8" s="181"/>
      <c r="AJ8" s="80"/>
      <c r="AK8" s="205"/>
      <c r="AL8" s="201"/>
    </row>
    <row r="9">
      <c r="B9" s="54">
        <v>3.95</v>
      </c>
      <c r="C9" s="174">
        <f>B9*0.03 + 0.1</f>
        <v>0.2185</v>
      </c>
      <c r="D9" s="123">
        <f>11.11 + 65.22*B9</f>
        <v>268.729</v>
      </c>
      <c r="E9" s="56">
        <f>SQRT(B9^2*'1_TaraturaMagnete'!$D$40^2 + '1_TaraturaMagnete'!$C$40^2*C9^2 +'1_TaraturaMagnete'!$G$40^2 )</f>
        <v>15.02957446</v>
      </c>
      <c r="F9" s="175">
        <f t="shared" ref="F9:G9" si="23">D9/1000</f>
        <v>0.268729</v>
      </c>
      <c r="G9" s="176">
        <f t="shared" si="23"/>
        <v>0.01502957446</v>
      </c>
      <c r="H9" s="204">
        <v>110083.484375</v>
      </c>
      <c r="I9" s="204">
        <v>136630.203125</v>
      </c>
      <c r="J9" s="116">
        <f t="shared" si="7"/>
        <v>-26546.71875</v>
      </c>
      <c r="K9" s="180">
        <f>AVERAGE(J9:J11)</f>
        <v>-28814.54167</v>
      </c>
      <c r="L9" s="116">
        <f>(MAX(J9:J11) - MIN(J9:J11))/2</f>
        <v>2215.3125</v>
      </c>
      <c r="M9" s="116">
        <f t="shared" ref="M9:N9" si="24">H10-H9</f>
        <v>125027.3281</v>
      </c>
      <c r="N9" s="116">
        <f t="shared" si="24"/>
        <v>127400.1719</v>
      </c>
      <c r="O9" s="180">
        <f>AVERAGE(M9:N10)</f>
        <v>126209.3984</v>
      </c>
      <c r="P9" s="116">
        <f>(MAX(M9:N10)-MIN(M9:N10))/2</f>
        <v>1186.421875</v>
      </c>
      <c r="Q9" s="182">
        <f>K9/O9</f>
        <v>-0.2283074163</v>
      </c>
      <c r="R9" s="32">
        <f>SQRT((1/O9)^2*(L9)^2 + (K9/(O9)^2)^2*(P9)^2)</f>
        <v>0.01768339621</v>
      </c>
      <c r="T9" s="174">
        <f t="shared" ref="T9:W9" si="25">B9</f>
        <v>3.95</v>
      </c>
      <c r="U9" s="174">
        <f t="shared" si="25"/>
        <v>0.2185</v>
      </c>
      <c r="V9" s="183">
        <f t="shared" si="25"/>
        <v>268.729</v>
      </c>
      <c r="W9" s="183">
        <f t="shared" si="25"/>
        <v>15.02957446</v>
      </c>
      <c r="X9" s="175">
        <f t="shared" ref="X9:Y9" si="26">V9/1000</f>
        <v>0.268729</v>
      </c>
      <c r="Y9" s="175">
        <f t="shared" si="26"/>
        <v>0.01502957446</v>
      </c>
      <c r="Z9" s="185">
        <v>187.191513</v>
      </c>
      <c r="AA9" s="186">
        <v>208.544342</v>
      </c>
      <c r="AB9" s="186">
        <f t="shared" ref="AB9:AC9" si="27">Z9^2</f>
        <v>35040.66254</v>
      </c>
      <c r="AC9" s="186">
        <f t="shared" si="27"/>
        <v>43490.74258</v>
      </c>
      <c r="AD9" s="116">
        <f t="shared" si="10"/>
        <v>-8450.080041</v>
      </c>
      <c r="AE9" s="180">
        <f>AVERAGE(AD9:AD11)</f>
        <v>-9171.948996</v>
      </c>
      <c r="AF9" s="116">
        <f>(MAX(AD9:AD11) - MIN(AD9:AD11))/2</f>
        <v>705.1530123</v>
      </c>
      <c r="AG9" s="116">
        <f t="shared" ref="AG9:AH9" si="28">AB10-AB9</f>
        <v>39797.43174</v>
      </c>
      <c r="AH9" s="116">
        <f t="shared" si="28"/>
        <v>40552.73258</v>
      </c>
      <c r="AI9" s="180">
        <f>AVERAGE(AG9:AH10)</f>
        <v>40173.69965</v>
      </c>
      <c r="AJ9" s="116">
        <f>(MAX(AG9:AH10)-MIN(AG9:AH10))/2</f>
        <v>377.65042</v>
      </c>
      <c r="AK9" s="182">
        <f>AE9/AI9</f>
        <v>-0.2283073024</v>
      </c>
      <c r="AL9" s="32">
        <f>SQRT((1/AI9)^2*(AF9)^2 + (AE9/(AI9)^2)^2*(AJ9)^2)</f>
        <v>0.01768332573</v>
      </c>
    </row>
    <row r="10">
      <c r="B10" s="54"/>
      <c r="C10" s="174"/>
      <c r="D10" s="187"/>
      <c r="E10" s="56"/>
      <c r="F10" s="63"/>
      <c r="H10" s="188">
        <v>235110.8125</v>
      </c>
      <c r="I10" s="188">
        <v>264030.375</v>
      </c>
      <c r="J10" s="179">
        <f t="shared" si="7"/>
        <v>-28919.5625</v>
      </c>
      <c r="K10" s="43"/>
      <c r="L10" s="43"/>
      <c r="M10" s="179">
        <f t="shared" ref="M10:N10" si="29">H11-H10</f>
        <v>125176.1563</v>
      </c>
      <c r="N10" s="179">
        <f t="shared" si="29"/>
        <v>127233.9375</v>
      </c>
      <c r="O10" s="189"/>
      <c r="P10" s="189"/>
      <c r="Q10" s="189"/>
      <c r="R10" s="189"/>
      <c r="T10" s="190"/>
      <c r="U10" s="190"/>
      <c r="V10" s="191"/>
      <c r="W10" s="191"/>
      <c r="X10" s="63"/>
      <c r="Z10" s="192">
        <v>273.565521</v>
      </c>
      <c r="AA10" s="193">
        <v>289.902527</v>
      </c>
      <c r="AB10" s="193">
        <f t="shared" ref="AB10:AC10" si="30">Z10^2</f>
        <v>74838.09428</v>
      </c>
      <c r="AC10" s="193">
        <f t="shared" si="30"/>
        <v>84043.47516</v>
      </c>
      <c r="AD10" s="179">
        <f t="shared" si="10"/>
        <v>-9205.380881</v>
      </c>
      <c r="AE10" s="43"/>
      <c r="AF10" s="43"/>
      <c r="AG10" s="179">
        <f t="shared" ref="AG10:AH10" si="31">AB11-AB10</f>
        <v>39844.81454</v>
      </c>
      <c r="AH10" s="179">
        <f t="shared" si="31"/>
        <v>40499.81973</v>
      </c>
      <c r="AI10" s="189"/>
      <c r="AJ10" s="189"/>
      <c r="AK10" s="189"/>
      <c r="AL10" s="189"/>
    </row>
    <row r="11">
      <c r="B11" s="194"/>
      <c r="C11" s="195"/>
      <c r="D11" s="196"/>
      <c r="E11" s="197"/>
      <c r="F11" s="97"/>
      <c r="G11" s="6"/>
      <c r="H11" s="198">
        <v>360286.96875</v>
      </c>
      <c r="I11" s="198">
        <v>391264.3125</v>
      </c>
      <c r="J11" s="179">
        <f t="shared" si="7"/>
        <v>-30977.34375</v>
      </c>
      <c r="K11" s="189"/>
      <c r="L11" s="189"/>
      <c r="M11" s="80"/>
      <c r="N11" s="80"/>
      <c r="O11" s="199"/>
      <c r="P11" s="80"/>
      <c r="Q11" s="200"/>
      <c r="R11" s="201"/>
      <c r="T11" s="190"/>
      <c r="U11" s="190"/>
      <c r="V11" s="191"/>
      <c r="W11" s="191"/>
      <c r="X11" s="63"/>
      <c r="Z11" s="202">
        <v>338.648651</v>
      </c>
      <c r="AA11" s="203">
        <v>352.906921</v>
      </c>
      <c r="AB11" s="203">
        <f t="shared" ref="AB11:AC11" si="32">Z11^2</f>
        <v>114682.9088</v>
      </c>
      <c r="AC11" s="202">
        <f t="shared" si="32"/>
        <v>124543.2949</v>
      </c>
      <c r="AD11" s="179">
        <f t="shared" si="10"/>
        <v>-9860.386066</v>
      </c>
      <c r="AE11" s="189"/>
      <c r="AF11" s="189"/>
      <c r="AG11" s="80"/>
      <c r="AH11" s="80"/>
      <c r="AI11" s="199"/>
      <c r="AJ11" s="80"/>
      <c r="AK11" s="200"/>
      <c r="AL11" s="201"/>
    </row>
    <row r="12">
      <c r="B12" s="54">
        <v>5.04</v>
      </c>
      <c r="C12" s="174">
        <f>B12*0.03 + 0.1</f>
        <v>0.2512</v>
      </c>
      <c r="D12" s="123">
        <f>11.11 + 65.22*B12</f>
        <v>339.8188</v>
      </c>
      <c r="E12" s="56">
        <f>SQRT(B12^2*'1_TaraturaMagnete'!$D$40^2 + '1_TaraturaMagnete'!$C$40^2*C12^2 +'1_TaraturaMagnete'!$G$40^2 )</f>
        <v>17.34884825</v>
      </c>
      <c r="F12" s="175">
        <f t="shared" ref="F12:G12" si="33">D12/1000</f>
        <v>0.3398188</v>
      </c>
      <c r="G12" s="176">
        <f t="shared" si="33"/>
        <v>0.01734884825</v>
      </c>
      <c r="H12" s="204">
        <v>111989.84375</v>
      </c>
      <c r="I12" s="204">
        <v>146301.4375</v>
      </c>
      <c r="J12" s="116">
        <f t="shared" si="7"/>
        <v>-34311.59375</v>
      </c>
      <c r="K12" s="180">
        <f>AVERAGE(J12:J14)</f>
        <v>-35801.39063</v>
      </c>
      <c r="L12" s="116">
        <f>(MAX(J12:J14) - MIN(J12:J14))/2</f>
        <v>2851.585938</v>
      </c>
      <c r="M12" s="116">
        <f t="shared" ref="M12:N12" si="34">H13-H12</f>
        <v>120032.2031</v>
      </c>
      <c r="N12" s="116">
        <f t="shared" si="34"/>
        <v>119415.3125</v>
      </c>
      <c r="O12" s="180">
        <f>AVERAGE(M12:N13)</f>
        <v>122928.5547</v>
      </c>
      <c r="P12" s="116">
        <f>(MAX(M12:N13)-MIN(M12:N13))/2</f>
        <v>4784.8125</v>
      </c>
      <c r="Q12" s="182">
        <f>K12/O12</f>
        <v>-0.2912373835</v>
      </c>
      <c r="R12" s="32">
        <f>SQRT((1/O12)^2*(L12)^2 + (K12/(O12)^2)^2*(P12)^2)</f>
        <v>0.02581879148</v>
      </c>
      <c r="T12" s="174">
        <f t="shared" ref="T12:W12" si="35">B12</f>
        <v>5.04</v>
      </c>
      <c r="U12" s="174">
        <f t="shared" si="35"/>
        <v>0.2512</v>
      </c>
      <c r="V12" s="183">
        <f t="shared" si="35"/>
        <v>339.8188</v>
      </c>
      <c r="W12" s="183">
        <f t="shared" si="35"/>
        <v>17.34884825</v>
      </c>
      <c r="X12" s="175">
        <f t="shared" ref="X12:Y12" si="36">V12/1000</f>
        <v>0.3398188</v>
      </c>
      <c r="Y12" s="175">
        <f t="shared" si="36"/>
        <v>0.01734884825</v>
      </c>
      <c r="Z12" s="185">
        <v>188.805389</v>
      </c>
      <c r="AA12" s="186">
        <v>215.798965</v>
      </c>
      <c r="AB12" s="186">
        <f t="shared" ref="AB12:AC12" si="37">Z12^2</f>
        <v>35647.47492</v>
      </c>
      <c r="AC12" s="186">
        <f t="shared" si="37"/>
        <v>46569.1933</v>
      </c>
      <c r="AD12" s="116">
        <f t="shared" si="10"/>
        <v>-10921.71838</v>
      </c>
      <c r="AE12" s="180">
        <f>AVERAGE(AD12:AD14)</f>
        <v>-11395.93653</v>
      </c>
      <c r="AF12" s="116">
        <f>(MAX(AD12:AD14) - MIN(AD12:AD14))/2</f>
        <v>907.6878989</v>
      </c>
      <c r="AG12" s="116">
        <f t="shared" ref="AG12:AH12" si="38">AB13-AB12</f>
        <v>38207.43802</v>
      </c>
      <c r="AH12" s="116">
        <f t="shared" si="38"/>
        <v>38011.07735</v>
      </c>
      <c r="AI12" s="180">
        <f>AVERAGE(AG12:AH13)</f>
        <v>39129.3747</v>
      </c>
      <c r="AJ12" s="116">
        <f>(MAX(AG12:AH13)-MIN(AG12:AH13))/2</f>
        <v>1523.051135</v>
      </c>
      <c r="AK12" s="182">
        <f>AE12/AI12</f>
        <v>-0.291237379</v>
      </c>
      <c r="AL12" s="32">
        <f>SQRT((1/AI12)^2*(AF12)^2 + (AE12/(AI12)^2)^2*(AJ12)^2)</f>
        <v>0.02581878241</v>
      </c>
    </row>
    <row r="13">
      <c r="B13" s="54"/>
      <c r="C13" s="174"/>
      <c r="D13" s="187"/>
      <c r="E13" s="56"/>
      <c r="F13" s="63"/>
      <c r="H13" s="188">
        <v>232022.046875</v>
      </c>
      <c r="I13" s="188">
        <v>265716.75</v>
      </c>
      <c r="J13" s="179">
        <f t="shared" si="7"/>
        <v>-33694.70313</v>
      </c>
      <c r="K13" s="43"/>
      <c r="L13" s="43"/>
      <c r="M13" s="179">
        <f t="shared" ref="M13:N13" si="39">H14-H13</f>
        <v>123281.7656</v>
      </c>
      <c r="N13" s="179">
        <f t="shared" si="39"/>
        <v>128984.9375</v>
      </c>
      <c r="O13" s="189"/>
      <c r="P13" s="189"/>
      <c r="Q13" s="189"/>
      <c r="R13" s="189"/>
      <c r="T13" s="190"/>
      <c r="U13" s="190"/>
      <c r="V13" s="191"/>
      <c r="W13" s="191"/>
      <c r="X13" s="63"/>
      <c r="Z13" s="192">
        <v>271.762604</v>
      </c>
      <c r="AA13" s="193">
        <v>290.826874</v>
      </c>
      <c r="AB13" s="193">
        <f t="shared" ref="AB13:AC13" si="40">Z13^2</f>
        <v>73854.91293</v>
      </c>
      <c r="AC13" s="193">
        <f t="shared" si="40"/>
        <v>84580.27064</v>
      </c>
      <c r="AD13" s="179">
        <f t="shared" si="10"/>
        <v>-10725.35771</v>
      </c>
      <c r="AE13" s="43"/>
      <c r="AF13" s="43"/>
      <c r="AG13" s="179">
        <f t="shared" ref="AG13:AH13" si="41">AB14-AB13</f>
        <v>39241.80382</v>
      </c>
      <c r="AH13" s="179">
        <f t="shared" si="41"/>
        <v>41057.17961</v>
      </c>
      <c r="AI13" s="189"/>
      <c r="AJ13" s="189"/>
      <c r="AK13" s="189"/>
      <c r="AL13" s="189"/>
    </row>
    <row r="14">
      <c r="B14" s="194"/>
      <c r="C14" s="195"/>
      <c r="D14" s="196"/>
      <c r="E14" s="197"/>
      <c r="F14" s="97"/>
      <c r="G14" s="6"/>
      <c r="H14" s="198">
        <v>355303.8125</v>
      </c>
      <c r="I14" s="198">
        <v>394701.6875</v>
      </c>
      <c r="J14" s="179">
        <f t="shared" si="7"/>
        <v>-39397.875</v>
      </c>
      <c r="K14" s="189"/>
      <c r="L14" s="189"/>
      <c r="M14" s="80"/>
      <c r="N14" s="80"/>
      <c r="O14" s="199"/>
      <c r="P14" s="80"/>
      <c r="Q14" s="200"/>
      <c r="R14" s="201"/>
      <c r="T14" s="190"/>
      <c r="U14" s="190"/>
      <c r="V14" s="191"/>
      <c r="W14" s="191"/>
      <c r="X14" s="63"/>
      <c r="Z14" s="202">
        <v>336.298553</v>
      </c>
      <c r="AA14" s="203">
        <v>354.453735</v>
      </c>
      <c r="AB14" s="203">
        <f t="shared" ref="AB14:AC14" si="42">Z14^2</f>
        <v>113096.7167</v>
      </c>
      <c r="AC14" s="202">
        <f t="shared" si="42"/>
        <v>125637.4503</v>
      </c>
      <c r="AD14" s="179">
        <f t="shared" si="10"/>
        <v>-12540.73351</v>
      </c>
      <c r="AE14" s="189"/>
      <c r="AF14" s="189"/>
      <c r="AG14" s="80"/>
      <c r="AH14" s="80"/>
      <c r="AI14" s="199"/>
      <c r="AJ14" s="80"/>
      <c r="AK14" s="200"/>
      <c r="AL14" s="201"/>
    </row>
    <row r="15">
      <c r="B15" s="54">
        <v>6.17</v>
      </c>
      <c r="C15" s="174">
        <f>B15*0.03 + 0.1</f>
        <v>0.2851</v>
      </c>
      <c r="D15" s="123">
        <f>11.11 + 65.22*B15</f>
        <v>413.5174</v>
      </c>
      <c r="E15" s="56">
        <f>SQRT(B15^2*'1_TaraturaMagnete'!$D$40^2 + '1_TaraturaMagnete'!$C$40^2*C15^2 +'1_TaraturaMagnete'!$G$40^2 )</f>
        <v>19.77208397</v>
      </c>
      <c r="F15" s="175">
        <f t="shared" ref="F15:G15" si="43">D15/1000</f>
        <v>0.4135174</v>
      </c>
      <c r="G15" s="176">
        <f t="shared" si="43"/>
        <v>0.01977208397</v>
      </c>
      <c r="H15" s="204">
        <v>104793.109375</v>
      </c>
      <c r="I15" s="204">
        <v>150105.546875</v>
      </c>
      <c r="J15" s="116">
        <f t="shared" si="7"/>
        <v>-45312.4375</v>
      </c>
      <c r="K15" s="180">
        <f>AVERAGE(J15:J17)</f>
        <v>-45416.17188</v>
      </c>
      <c r="L15" s="116">
        <f>(MAX(J15:J17) - MIN(J15:J17))/2</f>
        <v>1579.898438</v>
      </c>
      <c r="M15" s="116">
        <f t="shared" ref="M15:N15" si="44">H16-H15</f>
        <v>126859</v>
      </c>
      <c r="N15" s="116">
        <f t="shared" si="44"/>
        <v>125434.7031</v>
      </c>
      <c r="O15" s="180">
        <f>AVERAGE(M15:N16)</f>
        <v>124634.4766</v>
      </c>
      <c r="P15" s="116">
        <f>(MAX(M15:N16)-MIN(M15:N16))/2</f>
        <v>2658.398438</v>
      </c>
      <c r="Q15" s="182">
        <f>K15/O15</f>
        <v>-0.3643949341</v>
      </c>
      <c r="R15" s="32">
        <f>SQRT((1/O15)^2*(L15)^2 + (K15/(O15)^2)^2*(P15)^2)</f>
        <v>0.01486934394</v>
      </c>
      <c r="T15" s="174">
        <f t="shared" ref="T15:W15" si="45">B15</f>
        <v>6.17</v>
      </c>
      <c r="U15" s="174">
        <f t="shared" si="45"/>
        <v>0.2851</v>
      </c>
      <c r="V15" s="183">
        <f t="shared" si="45"/>
        <v>413.5174</v>
      </c>
      <c r="W15" s="183">
        <f t="shared" si="45"/>
        <v>19.77208397</v>
      </c>
      <c r="X15" s="175">
        <f t="shared" ref="X15:Y15" si="46">V15/1000</f>
        <v>0.4135174</v>
      </c>
      <c r="Y15" s="175">
        <f t="shared" si="46"/>
        <v>0.01977208397</v>
      </c>
      <c r="Z15" s="185">
        <v>182.638123</v>
      </c>
      <c r="AA15" s="186">
        <v>218.586548</v>
      </c>
      <c r="AB15" s="186">
        <f t="shared" ref="AB15:AC15" si="47">Z15^2</f>
        <v>33356.68397</v>
      </c>
      <c r="AC15" s="186">
        <f t="shared" si="47"/>
        <v>47780.07897</v>
      </c>
      <c r="AD15" s="116">
        <f t="shared" si="10"/>
        <v>-14423.39499</v>
      </c>
      <c r="AE15" s="180">
        <f>AVERAGE(AD15:AD17)</f>
        <v>-14456.41592</v>
      </c>
      <c r="AF15" s="116">
        <f>(MAX(AD15:AD17) - MIN(AD15:AD17))/2</f>
        <v>502.8978391</v>
      </c>
      <c r="AG15" s="116">
        <f t="shared" ref="AG15:AH15" si="48">AB16-AB15</f>
        <v>40380.47445</v>
      </c>
      <c r="AH15" s="116">
        <f t="shared" si="48"/>
        <v>39927.10801</v>
      </c>
      <c r="AI15" s="180">
        <f>AVERAGE(AG15:AH16)</f>
        <v>39672.38684</v>
      </c>
      <c r="AJ15" s="116">
        <f>(MAX(AG15:AH16)-MIN(AG15:AH16))/2</f>
        <v>846.1949245</v>
      </c>
      <c r="AK15" s="182">
        <f>AE15/AI15</f>
        <v>-0.3643949123</v>
      </c>
      <c r="AL15" s="32">
        <f>SQRT((1/AI15)^2*(AF15)^2 + (AE15/(AI15)^2)^2*(AJ15)^2)</f>
        <v>0.01486935718</v>
      </c>
    </row>
    <row r="16">
      <c r="B16" s="54"/>
      <c r="C16" s="174"/>
      <c r="D16" s="187"/>
      <c r="E16" s="56"/>
      <c r="F16" s="63"/>
      <c r="H16" s="188">
        <v>231652.109375</v>
      </c>
      <c r="I16" s="188">
        <v>275540.25</v>
      </c>
      <c r="J16" s="179">
        <f t="shared" si="7"/>
        <v>-43888.14063</v>
      </c>
      <c r="K16" s="43"/>
      <c r="L16" s="43"/>
      <c r="M16" s="179">
        <f t="shared" ref="M16:N16" si="49">H17-H16</f>
        <v>121542.2031</v>
      </c>
      <c r="N16" s="179">
        <f t="shared" si="49"/>
        <v>124702</v>
      </c>
      <c r="O16" s="189"/>
      <c r="P16" s="189"/>
      <c r="Q16" s="189"/>
      <c r="R16" s="189"/>
      <c r="T16" s="190"/>
      <c r="U16" s="190"/>
      <c r="V16" s="191"/>
      <c r="W16" s="191"/>
      <c r="X16" s="63"/>
      <c r="Z16" s="192">
        <v>271.545868</v>
      </c>
      <c r="AA16" s="193">
        <v>296.153992</v>
      </c>
      <c r="AB16" s="193">
        <f t="shared" ref="AB16:AC16" si="50">Z16^2</f>
        <v>73737.15843</v>
      </c>
      <c r="AC16" s="193">
        <f t="shared" si="50"/>
        <v>87707.18698</v>
      </c>
      <c r="AD16" s="179">
        <f t="shared" si="10"/>
        <v>-13970.02855</v>
      </c>
      <c r="AE16" s="43"/>
      <c r="AF16" s="43"/>
      <c r="AG16" s="179">
        <f t="shared" ref="AG16:AH16" si="51">AB17-AB16</f>
        <v>38688.08461</v>
      </c>
      <c r="AH16" s="179">
        <f t="shared" si="51"/>
        <v>39693.88028</v>
      </c>
      <c r="AI16" s="189"/>
      <c r="AJ16" s="189"/>
      <c r="AK16" s="189"/>
      <c r="AL16" s="189"/>
    </row>
    <row r="17">
      <c r="B17" s="194"/>
      <c r="C17" s="195"/>
      <c r="D17" s="196"/>
      <c r="E17" s="197"/>
      <c r="F17" s="97"/>
      <c r="G17" s="6"/>
      <c r="H17" s="198">
        <v>353194.3125</v>
      </c>
      <c r="I17" s="198">
        <v>400242.25</v>
      </c>
      <c r="J17" s="179">
        <f t="shared" si="7"/>
        <v>-47047.9375</v>
      </c>
      <c r="K17" s="189"/>
      <c r="L17" s="189"/>
      <c r="M17" s="80"/>
      <c r="N17" s="80"/>
      <c r="O17" s="199"/>
      <c r="P17" s="80"/>
      <c r="Q17" s="200"/>
      <c r="R17" s="201"/>
      <c r="T17" s="190"/>
      <c r="U17" s="190"/>
      <c r="V17" s="191"/>
      <c r="W17" s="191"/>
      <c r="X17" s="63"/>
      <c r="Z17" s="202">
        <v>335.298737</v>
      </c>
      <c r="AA17" s="203">
        <v>356.932861</v>
      </c>
      <c r="AB17" s="203">
        <f t="shared" ref="AB17:AC17" si="52">Z17^2</f>
        <v>112425.243</v>
      </c>
      <c r="AC17" s="202">
        <f t="shared" si="52"/>
        <v>127401.0673</v>
      </c>
      <c r="AD17" s="179">
        <f t="shared" si="10"/>
        <v>-14975.82423</v>
      </c>
      <c r="AE17" s="189"/>
      <c r="AF17" s="189"/>
      <c r="AG17" s="80"/>
      <c r="AH17" s="80"/>
      <c r="AI17" s="199"/>
      <c r="AJ17" s="80"/>
      <c r="AK17" s="200"/>
      <c r="AL17" s="201"/>
    </row>
    <row r="18">
      <c r="B18" s="54">
        <v>7.04</v>
      </c>
      <c r="C18" s="174">
        <f>B18*0.03 + 0.1</f>
        <v>0.3112</v>
      </c>
      <c r="D18" s="123">
        <f>11.11 + 65.22*B18</f>
        <v>470.2588</v>
      </c>
      <c r="E18" s="56">
        <f>SQRT(B18^2*'1_TaraturaMagnete'!$D$40^2 + '1_TaraturaMagnete'!$C$40^2*C18^2 +'1_TaraturaMagnete'!$G$40^2 )</f>
        <v>21.64683571</v>
      </c>
      <c r="F18" s="175">
        <f t="shared" ref="F18:G18" si="53">D18/1000</f>
        <v>0.4702588</v>
      </c>
      <c r="G18" s="176">
        <f t="shared" si="53"/>
        <v>0.02164683571</v>
      </c>
      <c r="H18" s="204">
        <v>101966.984375</v>
      </c>
      <c r="I18" s="204">
        <v>151646.0625</v>
      </c>
      <c r="J18" s="116">
        <f t="shared" si="7"/>
        <v>-49679.07813</v>
      </c>
      <c r="K18" s="180">
        <f>AVERAGE(J18:J20)</f>
        <v>-50688.25</v>
      </c>
      <c r="L18" s="116">
        <f>(MAX(J18:J20) - MIN(J18:J20))/2</f>
        <v>1994.804688</v>
      </c>
      <c r="M18" s="116">
        <f t="shared" ref="M18:N18" si="54">H19-H18</f>
        <v>124138.5313</v>
      </c>
      <c r="N18" s="116">
        <f t="shared" si="54"/>
        <v>127647.0938</v>
      </c>
      <c r="O18" s="180">
        <f>AVERAGE(M18:N19)</f>
        <v>127277.3867</v>
      </c>
      <c r="P18" s="116">
        <f>(MAX(M18:N19)-MIN(M18:N19))/2</f>
        <v>3259.117188</v>
      </c>
      <c r="Q18" s="182">
        <f>K18/O18</f>
        <v>-0.3982502415</v>
      </c>
      <c r="R18" s="32">
        <f>SQRT((1/O18)^2*(L18)^2 + (K18/(O18)^2)^2*(P18)^2)</f>
        <v>0.0186984982</v>
      </c>
      <c r="T18" s="174">
        <f t="shared" ref="T18:W18" si="55">B18</f>
        <v>7.04</v>
      </c>
      <c r="U18" s="174">
        <f t="shared" si="55"/>
        <v>0.3112</v>
      </c>
      <c r="V18" s="183">
        <f t="shared" si="55"/>
        <v>470.2588</v>
      </c>
      <c r="W18" s="183">
        <f t="shared" si="55"/>
        <v>21.64683571</v>
      </c>
      <c r="X18" s="175">
        <f t="shared" ref="X18:Y18" si="56">V18/1000</f>
        <v>0.4702588</v>
      </c>
      <c r="Y18" s="175">
        <f t="shared" si="56"/>
        <v>0.02164683571</v>
      </c>
      <c r="Z18" s="185">
        <v>180.158539</v>
      </c>
      <c r="AA18" s="186">
        <v>219.705353</v>
      </c>
      <c r="AB18" s="186">
        <f t="shared" ref="AB18:AC18" si="57">Z18^2</f>
        <v>32457.09917</v>
      </c>
      <c r="AC18" s="186">
        <f t="shared" si="57"/>
        <v>48270.44214</v>
      </c>
      <c r="AD18" s="116">
        <f t="shared" si="10"/>
        <v>-15813.34296</v>
      </c>
      <c r="AE18" s="180">
        <f>AVERAGE(AD18:AD20)</f>
        <v>-16134.57312</v>
      </c>
      <c r="AF18" s="116">
        <f>(MAX(AD18:AD20) - MIN(AD18:AD20))/2</f>
        <v>634.9633432</v>
      </c>
      <c r="AG18" s="116">
        <f t="shared" ref="AG18:AH18" si="58">AB19-AB18</f>
        <v>39514.52078</v>
      </c>
      <c r="AH18" s="116">
        <f t="shared" si="58"/>
        <v>40631.32936</v>
      </c>
      <c r="AI18" s="180">
        <f>AVERAGE(AG18:AH19)</f>
        <v>40513.64987</v>
      </c>
      <c r="AJ18" s="116">
        <f>(MAX(AG18:AH19)-MIN(AG18:AH19))/2</f>
        <v>1037.408617</v>
      </c>
      <c r="AK18" s="182">
        <f>AE18/AI18</f>
        <v>-0.3982502975</v>
      </c>
      <c r="AL18" s="32">
        <f>SQRT((1/AI18)^2*(AF18)^2 + (AE18/(AI18)^2)^2*(AJ18)^2)</f>
        <v>0.01869843996</v>
      </c>
    </row>
    <row r="19">
      <c r="B19" s="54"/>
      <c r="C19" s="174"/>
      <c r="D19" s="187"/>
      <c r="E19" s="56"/>
      <c r="F19" s="63"/>
      <c r="H19" s="188">
        <v>226105.515625</v>
      </c>
      <c r="I19" s="188">
        <v>279293.15625</v>
      </c>
      <c r="J19" s="179">
        <f t="shared" si="7"/>
        <v>-53187.64063</v>
      </c>
      <c r="K19" s="43"/>
      <c r="L19" s="43"/>
      <c r="M19" s="179">
        <f t="shared" ref="M19:N19" si="59">H20-H19</f>
        <v>130656.7656</v>
      </c>
      <c r="N19" s="179">
        <f t="shared" si="59"/>
        <v>126667.1563</v>
      </c>
      <c r="O19" s="189"/>
      <c r="P19" s="189"/>
      <c r="Q19" s="189"/>
      <c r="R19" s="189"/>
      <c r="T19" s="190"/>
      <c r="U19" s="190"/>
      <c r="V19" s="191"/>
      <c r="W19" s="191"/>
      <c r="X19" s="63"/>
      <c r="Z19" s="192">
        <v>268.275269</v>
      </c>
      <c r="AA19" s="193">
        <v>298.164001</v>
      </c>
      <c r="AB19" s="193">
        <f t="shared" ref="AB19:AC19" si="60">Z19^2</f>
        <v>71971.61996</v>
      </c>
      <c r="AC19" s="193">
        <f t="shared" si="60"/>
        <v>88901.77149</v>
      </c>
      <c r="AD19" s="179">
        <f t="shared" si="10"/>
        <v>-16930.15154</v>
      </c>
      <c r="AE19" s="43"/>
      <c r="AF19" s="43"/>
      <c r="AG19" s="179">
        <f t="shared" ref="AG19:AH19" si="61">AB20-AB19</f>
        <v>41589.33802</v>
      </c>
      <c r="AH19" s="179">
        <f t="shared" si="61"/>
        <v>40319.41133</v>
      </c>
      <c r="AI19" s="189"/>
      <c r="AJ19" s="189"/>
      <c r="AK19" s="189"/>
      <c r="AL19" s="189"/>
    </row>
    <row r="20">
      <c r="B20" s="194"/>
      <c r="C20" s="195"/>
      <c r="D20" s="196"/>
      <c r="E20" s="197"/>
      <c r="F20" s="97"/>
      <c r="G20" s="6"/>
      <c r="H20" s="198">
        <v>356762.28125</v>
      </c>
      <c r="I20" s="198">
        <v>405960.3125</v>
      </c>
      <c r="J20" s="179">
        <f t="shared" si="7"/>
        <v>-49198.03125</v>
      </c>
      <c r="K20" s="189"/>
      <c r="L20" s="189"/>
      <c r="M20" s="80"/>
      <c r="N20" s="80"/>
      <c r="O20" s="199"/>
      <c r="P20" s="80"/>
      <c r="Q20" s="200"/>
      <c r="R20" s="201"/>
      <c r="T20" s="190"/>
      <c r="U20" s="190"/>
      <c r="V20" s="191"/>
      <c r="W20" s="191"/>
      <c r="X20" s="63"/>
      <c r="Z20" s="202">
        <v>336.988068</v>
      </c>
      <c r="AA20" s="203">
        <v>359.47348</v>
      </c>
      <c r="AB20" s="203">
        <f t="shared" ref="AB20:AC20" si="62">Z20^2</f>
        <v>113560.958</v>
      </c>
      <c r="AC20" s="202">
        <f t="shared" si="62"/>
        <v>129221.1828</v>
      </c>
      <c r="AD20" s="179">
        <f t="shared" si="10"/>
        <v>-15660.22485</v>
      </c>
      <c r="AE20" s="189"/>
      <c r="AF20" s="189"/>
      <c r="AG20" s="80"/>
      <c r="AH20" s="80"/>
      <c r="AI20" s="199"/>
      <c r="AJ20" s="80"/>
      <c r="AK20" s="200"/>
      <c r="AL20" s="201"/>
    </row>
    <row r="21">
      <c r="B21" s="54">
        <v>7.96</v>
      </c>
      <c r="C21" s="174">
        <f>B21*0.03 + 0.1</f>
        <v>0.3388</v>
      </c>
      <c r="D21" s="123">
        <f>11.11 + 65.22*B21</f>
        <v>530.2612</v>
      </c>
      <c r="E21" s="56">
        <f>SQRT(B21^2*'1_TaraturaMagnete'!$D$40^2 + '1_TaraturaMagnete'!$C$40^2*C21^2 +'1_TaraturaMagnete'!$G$40^2 )</f>
        <v>23.63563466</v>
      </c>
      <c r="F21" s="175">
        <f t="shared" ref="F21:G21" si="63">D21/1000</f>
        <v>0.5302612</v>
      </c>
      <c r="G21" s="176">
        <f t="shared" si="63"/>
        <v>0.02363563466</v>
      </c>
      <c r="H21" s="204">
        <v>99756.09375</v>
      </c>
      <c r="I21" s="204">
        <v>152193.0625</v>
      </c>
      <c r="J21" s="116">
        <f t="shared" si="7"/>
        <v>-52436.96875</v>
      </c>
      <c r="K21" s="180">
        <f>AVERAGE(J21:J23)</f>
        <v>-55528.61979</v>
      </c>
      <c r="L21" s="116">
        <f>(MAX(J21:J23) - MIN(J21:J23))/2</f>
        <v>3609.546875</v>
      </c>
      <c r="M21" s="116">
        <f t="shared" ref="M21:N21" si="64">H22-H21</f>
        <v>125760.5469</v>
      </c>
      <c r="N21" s="116">
        <f t="shared" si="64"/>
        <v>127816.4063</v>
      </c>
      <c r="O21" s="180">
        <f>AVERAGE(M21:N22)</f>
        <v>126701.9297</v>
      </c>
      <c r="P21" s="116">
        <f>(MAX(M21:N22)-MIN(M21:N22))/2</f>
        <v>2581.617188</v>
      </c>
      <c r="Q21" s="182">
        <f>K21/O21</f>
        <v>-0.4382618318</v>
      </c>
      <c r="R21" s="32">
        <f>SQRT((1/O21)^2*(L21)^2 + (K21/(O21)^2)^2*(P21)^2)</f>
        <v>0.0298552455</v>
      </c>
      <c r="T21" s="174">
        <f t="shared" ref="T21:W21" si="65">B21</f>
        <v>7.96</v>
      </c>
      <c r="U21" s="174">
        <f t="shared" si="65"/>
        <v>0.3388</v>
      </c>
      <c r="V21" s="183">
        <f t="shared" si="65"/>
        <v>530.2612</v>
      </c>
      <c r="W21" s="183">
        <f t="shared" si="65"/>
        <v>23.63563466</v>
      </c>
      <c r="X21" s="175">
        <f t="shared" ref="X21:Y21" si="66">V21/1000</f>
        <v>0.5302612</v>
      </c>
      <c r="Y21" s="175">
        <f t="shared" si="66"/>
        <v>0.02363563466</v>
      </c>
      <c r="Z21" s="185">
        <v>178.194702</v>
      </c>
      <c r="AA21" s="186">
        <v>220.101242</v>
      </c>
      <c r="AB21" s="186">
        <f t="shared" ref="AB21:AC21" si="67">Z21^2</f>
        <v>31753.35182</v>
      </c>
      <c r="AC21" s="186">
        <f t="shared" si="67"/>
        <v>48444.55673</v>
      </c>
      <c r="AD21" s="116">
        <f t="shared" si="10"/>
        <v>-16691.20491</v>
      </c>
      <c r="AE21" s="180">
        <f>AVERAGE(AD21:AD23)</f>
        <v>-17675.26585</v>
      </c>
      <c r="AF21" s="116">
        <f>(MAX(AD21:AD23) - MIN(AD21:AD23))/2</f>
        <v>1148.891049</v>
      </c>
      <c r="AG21" s="116">
        <f t="shared" ref="AG21:AH21" si="68">AB22-AB21</f>
        <v>40030.82354</v>
      </c>
      <c r="AH21" s="116">
        <f t="shared" si="68"/>
        <v>40685.22426</v>
      </c>
      <c r="AI21" s="180">
        <f>AVERAGE(AG21:AH22)</f>
        <v>40330.50951</v>
      </c>
      <c r="AJ21" s="116">
        <f>(MAX(AG21:AH22)-MIN(AG21:AH22))/2</f>
        <v>821.6906889</v>
      </c>
      <c r="AK21" s="182">
        <f>AE21/AI21</f>
        <v>-0.4382604153</v>
      </c>
      <c r="AL21" s="32">
        <f>SQRT((1/AI21)^2*(AF21)^2 + (AE21/(AI21)^2)^2*(AJ21)^2)</f>
        <v>0.0298535058</v>
      </c>
    </row>
    <row r="22">
      <c r="B22" s="54"/>
      <c r="C22" s="174"/>
      <c r="D22" s="128"/>
      <c r="E22" s="56"/>
      <c r="F22" s="63"/>
      <c r="H22" s="188">
        <v>225516.640625</v>
      </c>
      <c r="I22" s="188">
        <v>280009.46875</v>
      </c>
      <c r="J22" s="179">
        <f t="shared" si="7"/>
        <v>-54492.82813</v>
      </c>
      <c r="K22" s="43"/>
      <c r="L22" s="43"/>
      <c r="M22" s="179">
        <f t="shared" ref="M22:N22" si="69">H23-H22</f>
        <v>124033.7656</v>
      </c>
      <c r="N22" s="179">
        <f t="shared" si="69"/>
        <v>129197</v>
      </c>
      <c r="O22" s="189"/>
      <c r="P22" s="189"/>
      <c r="Q22" s="189"/>
      <c r="R22" s="189"/>
      <c r="T22" s="190"/>
      <c r="U22" s="190"/>
      <c r="V22" s="191"/>
      <c r="W22" s="191"/>
      <c r="X22" s="63"/>
      <c r="Z22" s="192">
        <v>267.92569</v>
      </c>
      <c r="AA22" s="193">
        <v>298.546112</v>
      </c>
      <c r="AB22" s="193">
        <f t="shared" ref="AB22:AC22" si="70">Z22^2</f>
        <v>71784.17536</v>
      </c>
      <c r="AC22" s="193">
        <f t="shared" si="70"/>
        <v>89129.78099</v>
      </c>
      <c r="AD22" s="179">
        <f t="shared" si="10"/>
        <v>-17345.60563</v>
      </c>
      <c r="AE22" s="43"/>
      <c r="AF22" s="43"/>
      <c r="AG22" s="179">
        <f t="shared" ref="AG22:AH22" si="71">AB23-AB22</f>
        <v>39481.30444</v>
      </c>
      <c r="AH22" s="179">
        <f t="shared" si="71"/>
        <v>41124.68582</v>
      </c>
      <c r="AI22" s="189"/>
      <c r="AJ22" s="189"/>
      <c r="AK22" s="189"/>
      <c r="AL22" s="189"/>
    </row>
    <row r="23">
      <c r="B23" s="194"/>
      <c r="C23" s="195"/>
      <c r="D23" s="129"/>
      <c r="E23" s="197"/>
      <c r="F23" s="97"/>
      <c r="G23" s="6"/>
      <c r="H23" s="198">
        <v>349550.40625</v>
      </c>
      <c r="I23" s="198">
        <v>409206.46875</v>
      </c>
      <c r="J23" s="179">
        <f t="shared" si="7"/>
        <v>-59656.0625</v>
      </c>
      <c r="K23" s="189"/>
      <c r="L23" s="189"/>
      <c r="M23" s="80"/>
      <c r="N23" s="80"/>
      <c r="O23" s="199"/>
      <c r="P23" s="80"/>
      <c r="Q23" s="200"/>
      <c r="R23" s="201"/>
      <c r="T23" s="190"/>
      <c r="U23" s="190"/>
      <c r="V23" s="191"/>
      <c r="W23" s="191"/>
      <c r="X23" s="63"/>
      <c r="Z23" s="202">
        <v>333.564806</v>
      </c>
      <c r="AA23" s="203">
        <v>360.907837</v>
      </c>
      <c r="AB23" s="203">
        <f t="shared" ref="AB23:AC23" si="72">Z23^2</f>
        <v>111265.4798</v>
      </c>
      <c r="AC23" s="202">
        <f t="shared" si="72"/>
        <v>130254.4668</v>
      </c>
      <c r="AD23" s="179">
        <f t="shared" si="10"/>
        <v>-18988.98701</v>
      </c>
      <c r="AE23" s="189"/>
      <c r="AF23" s="189"/>
      <c r="AG23" s="80"/>
      <c r="AH23" s="80"/>
      <c r="AI23" s="199"/>
      <c r="AJ23" s="80"/>
      <c r="AK23" s="200"/>
      <c r="AL23" s="201"/>
    </row>
    <row r="24">
      <c r="B24" s="54">
        <v>9.0</v>
      </c>
      <c r="C24" s="174">
        <f>B24*0.03 + 0.1</f>
        <v>0.37</v>
      </c>
      <c r="D24" s="10">
        <f>11.11 + 65.22*B24</f>
        <v>598.09</v>
      </c>
      <c r="E24" s="56">
        <f>SQRT(B24^2*'1_TaraturaMagnete'!$D$40^2 + '1_TaraturaMagnete'!$C$40^2*C24^2 +'1_TaraturaMagnete'!$G$40^2 )</f>
        <v>25.88980008</v>
      </c>
      <c r="F24" s="175">
        <f t="shared" ref="F24:G24" si="73">D24/1000</f>
        <v>0.59809</v>
      </c>
      <c r="G24" s="176">
        <f t="shared" si="73"/>
        <v>0.02588980008</v>
      </c>
      <c r="H24" s="204">
        <v>94140.039062</v>
      </c>
      <c r="I24" s="204">
        <v>156457.109375</v>
      </c>
      <c r="J24" s="116">
        <f t="shared" si="7"/>
        <v>-62317.07031</v>
      </c>
      <c r="K24" s="180">
        <f>AVERAGE(J24:J26)</f>
        <v>-60407.1849</v>
      </c>
      <c r="L24" s="116">
        <f>(MAX(J24:J26) - MIN(J24:J26))/2</f>
        <v>1479.472657</v>
      </c>
      <c r="M24" s="116">
        <f t="shared" ref="M24:N24" si="74">H25-H24</f>
        <v>128191.2266</v>
      </c>
      <c r="N24" s="116">
        <f t="shared" si="74"/>
        <v>125420.5156</v>
      </c>
      <c r="O24" s="180">
        <f>AVERAGE(M24:N25)</f>
        <v>126223.0098</v>
      </c>
      <c r="P24" s="116">
        <f>(MAX(M24:N25)-MIN(M24:N25))/2</f>
        <v>1385.355469</v>
      </c>
      <c r="Q24" s="182">
        <f>K24/O24</f>
        <v>-0.4785750634</v>
      </c>
      <c r="R24" s="32">
        <f>SQRT((1/O24)^2*(L24)^2 + (K24/(O24)^2)^2*(P24)^2)</f>
        <v>0.01284421339</v>
      </c>
      <c r="T24" s="174">
        <f t="shared" ref="T24:W24" si="75">B24</f>
        <v>9</v>
      </c>
      <c r="U24" s="174">
        <f t="shared" si="75"/>
        <v>0.37</v>
      </c>
      <c r="V24" s="191">
        <f t="shared" si="75"/>
        <v>598.09</v>
      </c>
      <c r="W24" s="183">
        <f t="shared" si="75"/>
        <v>25.88980008</v>
      </c>
      <c r="X24" s="175">
        <f t="shared" ref="X24:Y24" si="76">V24/1000</f>
        <v>0.59809</v>
      </c>
      <c r="Y24" s="175">
        <f t="shared" si="76"/>
        <v>0.02588980008</v>
      </c>
      <c r="Z24" s="192">
        <v>173.106049</v>
      </c>
      <c r="AA24" s="193">
        <v>223.163269</v>
      </c>
      <c r="AB24" s="193">
        <f t="shared" ref="AB24:AC24" si="77">Z24^2</f>
        <v>29965.7042</v>
      </c>
      <c r="AC24" s="193">
        <f t="shared" si="77"/>
        <v>49801.84463</v>
      </c>
      <c r="AD24" s="116">
        <f t="shared" si="10"/>
        <v>-19836.14043</v>
      </c>
      <c r="AE24" s="180">
        <f>AVERAGE(AD24:AD26)</f>
        <v>-19228.20606</v>
      </c>
      <c r="AF24" s="116">
        <f>(MAX(AD24:AD26) - MIN(AD24:AD26))/2</f>
        <v>470.9298791</v>
      </c>
      <c r="AG24" s="116">
        <f t="shared" ref="AG24:AH24" si="78">AB25-AB24</f>
        <v>40804.53496</v>
      </c>
      <c r="AH24" s="116">
        <f t="shared" si="78"/>
        <v>39922.59162</v>
      </c>
      <c r="AI24" s="180">
        <f>AVERAGE(AG24:AH25)</f>
        <v>40178.03396</v>
      </c>
      <c r="AJ24" s="116">
        <f>(MAX(AG24:AH25)-MIN(AG24:AH25))/2</f>
        <v>440.9716698</v>
      </c>
      <c r="AK24" s="182">
        <f>AE24/AI24</f>
        <v>-0.4785750862</v>
      </c>
      <c r="AL24" s="32">
        <f>SQRT((1/AI24)^2*(AF24)^2 + (AE24/(AI24)^2)^2*(AJ24)^2)</f>
        <v>0.01284418925</v>
      </c>
    </row>
    <row r="25">
      <c r="B25" s="206"/>
      <c r="C25" s="183"/>
      <c r="D25" s="128"/>
      <c r="E25" s="207"/>
      <c r="F25" s="63"/>
      <c r="H25" s="188">
        <v>222331.265625</v>
      </c>
      <c r="I25" s="188">
        <v>281877.625</v>
      </c>
      <c r="J25" s="179">
        <f t="shared" si="7"/>
        <v>-59546.35938</v>
      </c>
      <c r="K25" s="43"/>
      <c r="L25" s="43"/>
      <c r="M25" s="179">
        <f t="shared" ref="M25:N25" si="79">H26-H25</f>
        <v>125734.2656</v>
      </c>
      <c r="N25" s="179">
        <f t="shared" si="79"/>
        <v>125546.0313</v>
      </c>
      <c r="O25" s="189"/>
      <c r="P25" s="189"/>
      <c r="Q25" s="189"/>
      <c r="R25" s="189"/>
      <c r="T25" s="191"/>
      <c r="U25" s="191"/>
      <c r="V25" s="191"/>
      <c r="W25" s="191"/>
      <c r="X25" s="63"/>
      <c r="Z25" s="192">
        <v>266.026764</v>
      </c>
      <c r="AA25" s="193">
        <v>299.540375</v>
      </c>
      <c r="AB25" s="193">
        <f t="shared" ref="AB25:AC25" si="80">Z25^2</f>
        <v>70770.23916</v>
      </c>
      <c r="AC25" s="193">
        <f t="shared" si="80"/>
        <v>89724.43626</v>
      </c>
      <c r="AD25" s="179">
        <f t="shared" si="10"/>
        <v>-18954.19709</v>
      </c>
      <c r="AE25" s="43"/>
      <c r="AF25" s="43"/>
      <c r="AG25" s="179">
        <f t="shared" ref="AG25:AH25" si="81">AB26-AB25</f>
        <v>40022.46283</v>
      </c>
      <c r="AH25" s="179">
        <f t="shared" si="81"/>
        <v>39962.54641</v>
      </c>
      <c r="AI25" s="189"/>
      <c r="AJ25" s="189"/>
      <c r="AK25" s="189"/>
      <c r="AL25" s="189"/>
    </row>
    <row r="26">
      <c r="B26" s="206"/>
      <c r="C26" s="208"/>
      <c r="D26" s="129"/>
      <c r="E26" s="209"/>
      <c r="F26" s="97"/>
      <c r="G26" s="6"/>
      <c r="H26" s="198">
        <v>348065.53125</v>
      </c>
      <c r="I26" s="188">
        <v>407423.65625</v>
      </c>
      <c r="J26" s="179">
        <f t="shared" si="7"/>
        <v>-59358.125</v>
      </c>
      <c r="K26" s="189"/>
      <c r="L26" s="189"/>
      <c r="M26" s="116"/>
      <c r="N26" s="116"/>
      <c r="O26" s="182"/>
      <c r="P26" s="201"/>
      <c r="Q26" s="182"/>
      <c r="R26" s="209"/>
      <c r="S26" s="207"/>
      <c r="T26" s="210"/>
      <c r="U26" s="210"/>
      <c r="V26" s="210"/>
      <c r="W26" s="210"/>
      <c r="X26" s="97"/>
      <c r="Z26" s="192">
        <v>332.855377</v>
      </c>
      <c r="AA26" s="203">
        <v>360.120789</v>
      </c>
      <c r="AB26" s="203">
        <f t="shared" ref="AB26:AC26" si="82">Z26^2</f>
        <v>110792.702</v>
      </c>
      <c r="AC26" s="202">
        <f t="shared" si="82"/>
        <v>129686.9827</v>
      </c>
      <c r="AD26" s="179">
        <f t="shared" si="10"/>
        <v>-18894.28067</v>
      </c>
      <c r="AE26" s="189"/>
      <c r="AF26" s="189"/>
      <c r="AG26" s="80"/>
      <c r="AH26" s="80"/>
      <c r="AI26" s="200"/>
      <c r="AJ26" s="201"/>
      <c r="AK26" s="200"/>
      <c r="AL26" s="211"/>
    </row>
    <row r="27">
      <c r="B27" s="212"/>
      <c r="H27" s="212"/>
      <c r="I27" s="213"/>
      <c r="J27" s="214"/>
      <c r="K27" s="214"/>
      <c r="L27" s="214"/>
      <c r="M27" s="214"/>
      <c r="N27" s="214"/>
      <c r="O27" s="215"/>
      <c r="P27" s="215"/>
      <c r="Q27" s="215"/>
      <c r="W27" s="212"/>
      <c r="X27" s="134"/>
      <c r="Y27" s="135"/>
      <c r="Z27" s="135"/>
    </row>
    <row r="28">
      <c r="I28" s="216"/>
      <c r="J28" s="217"/>
      <c r="K28" s="217"/>
      <c r="L28" s="217"/>
      <c r="M28" s="217"/>
      <c r="N28" s="217"/>
      <c r="O28" s="218"/>
      <c r="P28" s="218"/>
      <c r="Q28" s="218"/>
      <c r="X28" s="133"/>
      <c r="Y28" s="25"/>
      <c r="Z28" s="25"/>
    </row>
    <row r="29">
      <c r="I29" s="219"/>
      <c r="J29" s="219"/>
      <c r="K29" s="219"/>
      <c r="L29" s="219"/>
      <c r="M29" s="219"/>
      <c r="N29" s="219"/>
      <c r="O29" s="219"/>
      <c r="P29" s="219"/>
      <c r="Q29" s="219"/>
    </row>
    <row r="30">
      <c r="B30" s="136" t="s">
        <v>140</v>
      </c>
      <c r="I30" s="219"/>
      <c r="J30" s="220"/>
      <c r="K30" s="220"/>
      <c r="L30" s="220"/>
      <c r="M30" s="220"/>
      <c r="N30" s="220"/>
      <c r="O30" s="221"/>
      <c r="P30" s="221"/>
      <c r="Q30" s="221"/>
    </row>
    <row r="31">
      <c r="B31" s="222" t="s">
        <v>95</v>
      </c>
      <c r="C31" s="223" t="s">
        <v>96</v>
      </c>
      <c r="D31" s="224" t="s">
        <v>141</v>
      </c>
      <c r="E31" s="224" t="s">
        <v>142</v>
      </c>
      <c r="F31" s="224" t="s">
        <v>143</v>
      </c>
      <c r="G31" s="225" t="s">
        <v>144</v>
      </c>
      <c r="I31" s="138"/>
      <c r="J31" s="226"/>
      <c r="K31" s="226"/>
      <c r="L31" s="226"/>
      <c r="M31" s="226"/>
      <c r="N31" s="226"/>
      <c r="O31" s="219"/>
      <c r="P31" s="219"/>
      <c r="Q31" s="219"/>
    </row>
    <row r="32">
      <c r="B32" s="227">
        <v>0.15198520000000001</v>
      </c>
      <c r="C32" s="176">
        <v>0.011288881263928267</v>
      </c>
      <c r="D32" s="228">
        <v>-0.12696660142815913</v>
      </c>
      <c r="E32" s="228">
        <v>0.008060310130069014</v>
      </c>
      <c r="F32" s="144">
        <v>0.12359433605963119</v>
      </c>
      <c r="G32" s="147">
        <v>0.003741898865938377</v>
      </c>
      <c r="I32" s="219"/>
      <c r="J32" s="144"/>
      <c r="K32" s="144"/>
      <c r="L32" s="144"/>
      <c r="M32" s="144"/>
      <c r="N32" s="144"/>
      <c r="O32" s="219"/>
      <c r="P32" s="219"/>
      <c r="Q32" s="219"/>
    </row>
    <row r="33">
      <c r="B33" s="227">
        <v>0.20285679999999998</v>
      </c>
      <c r="C33" s="176">
        <v>0.012904953695632106</v>
      </c>
      <c r="D33" s="228">
        <v>-0.17448311992259244</v>
      </c>
      <c r="E33" s="228">
        <v>0.01920817250045181</v>
      </c>
      <c r="F33" s="144">
        <v>0.1661095013517308</v>
      </c>
      <c r="G33" s="147">
        <v>0.008978211653311863</v>
      </c>
      <c r="J33" s="144"/>
      <c r="K33" s="144"/>
      <c r="L33" s="144"/>
      <c r="M33" s="144"/>
      <c r="N33" s="144"/>
    </row>
    <row r="34">
      <c r="B34" s="227">
        <v>0.26872900000000005</v>
      </c>
      <c r="C34" s="176">
        <v>0.015029574463227894</v>
      </c>
      <c r="D34" s="228">
        <v>-0.2283074162732491</v>
      </c>
      <c r="E34" s="228">
        <v>0.017683396214571444</v>
      </c>
      <c r="F34" s="144">
        <v>0.22167905391672715</v>
      </c>
      <c r="G34" s="147">
        <v>0.0093517837545488</v>
      </c>
      <c r="J34" s="144"/>
      <c r="K34" s="144"/>
      <c r="L34" s="144"/>
      <c r="M34" s="144"/>
      <c r="N34" s="144"/>
    </row>
    <row r="35">
      <c r="B35" s="227">
        <v>0.33981880000000003</v>
      </c>
      <c r="C35" s="176">
        <v>0.01734884825349779</v>
      </c>
      <c r="D35" s="228">
        <v>-0.2912373835030574</v>
      </c>
      <c r="E35" s="228">
        <v>0.025818791484173726</v>
      </c>
      <c r="F35" s="144">
        <v>0.2795838968356056</v>
      </c>
      <c r="G35" s="147">
        <v>0.006269302079498135</v>
      </c>
      <c r="J35" s="144"/>
      <c r="K35" s="144"/>
      <c r="L35" s="144"/>
      <c r="M35" s="144"/>
      <c r="N35" s="144"/>
    </row>
    <row r="36">
      <c r="B36" s="227">
        <v>0.41351740000000003</v>
      </c>
      <c r="C36" s="176">
        <v>0.0197720839673712</v>
      </c>
      <c r="D36" s="228">
        <v>-0.36439493411139184</v>
      </c>
      <c r="E36" s="228">
        <v>0.014869343938368314</v>
      </c>
      <c r="F36" s="144">
        <v>0.35914059286085753</v>
      </c>
      <c r="G36" s="147">
        <v>0.001953234656370789</v>
      </c>
      <c r="J36" s="144"/>
      <c r="K36" s="144"/>
      <c r="L36" s="144"/>
      <c r="M36" s="144"/>
      <c r="N36" s="144"/>
    </row>
    <row r="37">
      <c r="B37" s="227">
        <v>0.47025880000000003</v>
      </c>
      <c r="C37" s="176">
        <v>0.021646835711089732</v>
      </c>
      <c r="D37" s="228">
        <v>-0.39825024151389815</v>
      </c>
      <c r="E37" s="228">
        <v>0.01869849819916906</v>
      </c>
      <c r="F37" s="144">
        <v>0.4036349052338932</v>
      </c>
      <c r="G37" s="147">
        <v>0.003444224716256522</v>
      </c>
      <c r="J37" s="144"/>
      <c r="K37" s="144"/>
      <c r="L37" s="144"/>
      <c r="M37" s="144"/>
      <c r="N37" s="144"/>
    </row>
    <row r="38">
      <c r="B38" s="227">
        <v>0.5302612</v>
      </c>
      <c r="C38" s="176">
        <v>0.02363563466018438</v>
      </c>
      <c r="D38" s="228">
        <v>-0.43826183175444516</v>
      </c>
      <c r="E38" s="228">
        <v>0.02985524550123779</v>
      </c>
      <c r="F38" s="144">
        <v>0.4281480080454482</v>
      </c>
      <c r="G38" s="147">
        <v>0.011189189001075683</v>
      </c>
      <c r="J38" s="144"/>
      <c r="K38" s="144"/>
      <c r="L38" s="144"/>
      <c r="M38" s="144"/>
      <c r="N38" s="144"/>
    </row>
    <row r="39">
      <c r="B39" s="229">
        <v>0.59809</v>
      </c>
      <c r="C39" s="230">
        <v>0.025889800077889775</v>
      </c>
      <c r="D39" s="231">
        <v>-0.47857506335894073</v>
      </c>
      <c r="E39" s="231">
        <v>0.01284421339127331</v>
      </c>
      <c r="F39" s="156">
        <v>0.47985742630433426</v>
      </c>
      <c r="G39" s="157">
        <v>0.006268452790103546</v>
      </c>
      <c r="J39" s="144"/>
      <c r="K39" s="144"/>
      <c r="L39" s="144"/>
      <c r="M39" s="144"/>
      <c r="N39" s="144"/>
    </row>
    <row r="40">
      <c r="E40" s="25"/>
      <c r="F40" s="228"/>
      <c r="G40" s="144"/>
      <c r="H40" s="144"/>
      <c r="J40" s="144"/>
      <c r="K40" s="144"/>
    </row>
    <row r="42">
      <c r="E42" s="25"/>
      <c r="F42" s="25"/>
      <c r="M42" s="144"/>
      <c r="N42" s="144"/>
      <c r="O42" s="144"/>
      <c r="P42" s="144"/>
      <c r="Q42" s="144"/>
    </row>
    <row r="43">
      <c r="E43" s="25"/>
      <c r="F43" s="228"/>
      <c r="G43" s="144"/>
      <c r="H43" s="144"/>
      <c r="J43" s="144"/>
      <c r="K43" s="144"/>
    </row>
    <row r="45">
      <c r="E45" s="25"/>
      <c r="F45" s="25"/>
      <c r="M45" s="144"/>
      <c r="N45" s="144"/>
      <c r="O45" s="144"/>
      <c r="P45" s="144"/>
      <c r="Q45" s="144"/>
    </row>
    <row r="46">
      <c r="E46" s="25"/>
      <c r="F46" s="228"/>
      <c r="G46" s="144"/>
      <c r="H46" s="144"/>
      <c r="J46" s="144"/>
      <c r="K46" s="144"/>
    </row>
    <row r="48">
      <c r="E48" s="25"/>
      <c r="F48" s="25"/>
      <c r="M48" s="144"/>
      <c r="N48" s="144"/>
      <c r="O48" s="144"/>
      <c r="P48" s="144"/>
      <c r="Q48" s="144"/>
    </row>
    <row r="49">
      <c r="E49" s="25"/>
      <c r="F49" s="228"/>
      <c r="G49" s="144"/>
      <c r="H49" s="144"/>
      <c r="J49" s="144"/>
      <c r="K49" s="144"/>
    </row>
    <row r="51">
      <c r="E51" s="25"/>
      <c r="F51" s="25"/>
      <c r="M51" s="144"/>
      <c r="N51" s="144"/>
      <c r="O51" s="144"/>
      <c r="P51" s="144"/>
      <c r="Q51" s="144"/>
    </row>
    <row r="52">
      <c r="E52" s="25"/>
      <c r="F52" s="228"/>
      <c r="G52" s="144"/>
      <c r="H52" s="144"/>
      <c r="J52" s="144"/>
      <c r="K52" s="144"/>
    </row>
    <row r="54">
      <c r="E54" s="25"/>
      <c r="F54" s="25"/>
    </row>
    <row r="59">
      <c r="A59" s="6"/>
      <c r="B59" s="232" t="s">
        <v>145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6">
      <c r="B66" s="233" t="s">
        <v>146</v>
      </c>
      <c r="C66" s="234" t="s">
        <v>147</v>
      </c>
      <c r="D66" s="234" t="s">
        <v>148</v>
      </c>
      <c r="E66" s="234" t="s">
        <v>149</v>
      </c>
      <c r="F66" s="234" t="s">
        <v>95</v>
      </c>
      <c r="G66" s="234" t="s">
        <v>150</v>
      </c>
      <c r="U66" s="233" t="s">
        <v>151</v>
      </c>
      <c r="V66" s="234" t="s">
        <v>147</v>
      </c>
      <c r="W66" s="234" t="s">
        <v>148</v>
      </c>
      <c r="X66" s="234" t="s">
        <v>149</v>
      </c>
      <c r="Y66" s="234" t="s">
        <v>95</v>
      </c>
      <c r="Z66" s="234" t="s">
        <v>150</v>
      </c>
    </row>
    <row r="67">
      <c r="B67" s="63"/>
      <c r="C67" s="63">
        <v>0.11985242101079023</v>
      </c>
      <c r="D67" s="235">
        <v>2.16</v>
      </c>
      <c r="E67" s="128"/>
      <c r="F67" s="64">
        <f t="shared" ref="F67:F74" si="83">11.11 + 65.22*D67</f>
        <v>151.9852</v>
      </c>
      <c r="G67" s="63"/>
      <c r="U67" s="63"/>
      <c r="V67" s="63">
        <v>0.1273362597862698</v>
      </c>
      <c r="W67" s="235">
        <v>2.16</v>
      </c>
      <c r="X67" s="128"/>
      <c r="Y67" s="64"/>
      <c r="Z67" s="63"/>
    </row>
    <row r="68">
      <c r="B68" s="63"/>
      <c r="C68" s="63">
        <v>0.15713129752455</v>
      </c>
      <c r="D68" s="235">
        <v>2.94</v>
      </c>
      <c r="E68" s="128"/>
      <c r="F68" s="64">
        <f t="shared" si="83"/>
        <v>202.8568</v>
      </c>
      <c r="G68" s="63"/>
      <c r="U68" s="63"/>
      <c r="V68" s="63">
        <v>0.17508768915749914</v>
      </c>
      <c r="W68" s="235">
        <v>2.94</v>
      </c>
      <c r="X68" s="128"/>
      <c r="Y68" s="64"/>
      <c r="Z68" s="63"/>
    </row>
    <row r="69">
      <c r="B69" s="63"/>
      <c r="C69" s="63">
        <v>0.21232732993749243</v>
      </c>
      <c r="D69" s="235">
        <v>3.95</v>
      </c>
      <c r="E69" s="128"/>
      <c r="F69" s="64">
        <f t="shared" si="83"/>
        <v>268.729</v>
      </c>
      <c r="G69" s="63"/>
      <c r="U69" s="63"/>
      <c r="V69" s="63">
        <v>0.23103091967644596</v>
      </c>
      <c r="W69" s="235">
        <v>3.95</v>
      </c>
      <c r="X69" s="128"/>
      <c r="Y69" s="64"/>
      <c r="Z69" s="63"/>
    </row>
    <row r="70">
      <c r="B70" s="63"/>
      <c r="C70" s="63">
        <v>0.2858532365207722</v>
      </c>
      <c r="D70" s="235">
        <v>5.04</v>
      </c>
      <c r="E70" s="128"/>
      <c r="F70" s="64">
        <f t="shared" si="83"/>
        <v>339.8188</v>
      </c>
      <c r="G70" s="63"/>
      <c r="U70" s="63"/>
      <c r="V70" s="63">
        <v>0.273314572955525</v>
      </c>
      <c r="W70" s="235">
        <v>5.04</v>
      </c>
      <c r="X70" s="128"/>
      <c r="Y70" s="64"/>
      <c r="Z70" s="63"/>
    </row>
    <row r="71">
      <c r="B71" s="63"/>
      <c r="C71" s="63">
        <v>0.357187408855501</v>
      </c>
      <c r="D71" s="235">
        <v>6.17</v>
      </c>
      <c r="E71" s="128"/>
      <c r="F71" s="64">
        <f t="shared" si="83"/>
        <v>413.5174</v>
      </c>
      <c r="G71" s="63"/>
      <c r="U71" s="63"/>
      <c r="V71" s="63">
        <v>0.3610938381614102</v>
      </c>
      <c r="W71" s="235">
        <v>6.17</v>
      </c>
      <c r="X71" s="128"/>
      <c r="Y71" s="64"/>
      <c r="Z71" s="63"/>
    </row>
    <row r="72">
      <c r="B72" s="63"/>
      <c r="C72" s="63">
        <v>0.40019063883519246</v>
      </c>
      <c r="D72" s="235">
        <v>7.04</v>
      </c>
      <c r="E72" s="128"/>
      <c r="F72" s="64">
        <f t="shared" si="83"/>
        <v>470.2588</v>
      </c>
      <c r="G72" s="63"/>
      <c r="U72" s="63"/>
      <c r="V72" s="63">
        <v>0.4070791158083208</v>
      </c>
      <c r="W72" s="235">
        <v>7.04</v>
      </c>
      <c r="X72" s="128"/>
      <c r="Y72" s="64"/>
      <c r="Z72" s="63"/>
    </row>
    <row r="73">
      <c r="B73" s="63"/>
      <c r="C73" s="63">
        <v>0.4169588162026669</v>
      </c>
      <c r="D73" s="235">
        <v>7.96</v>
      </c>
      <c r="E73" s="128"/>
      <c r="F73" s="64">
        <f t="shared" si="83"/>
        <v>530.2612</v>
      </c>
      <c r="G73" s="63"/>
      <c r="U73" s="63"/>
      <c r="V73" s="63">
        <v>0.4393386579082989</v>
      </c>
      <c r="W73" s="235">
        <v>7.96</v>
      </c>
      <c r="X73" s="128"/>
      <c r="Y73" s="64"/>
      <c r="Z73" s="63"/>
    </row>
    <row r="74">
      <c r="B74" s="97"/>
      <c r="C74" s="97">
        <v>0.4861258604337799</v>
      </c>
      <c r="D74" s="236">
        <v>9.0</v>
      </c>
      <c r="E74" s="129"/>
      <c r="F74" s="97">
        <f t="shared" si="83"/>
        <v>598.09</v>
      </c>
      <c r="G74" s="97"/>
      <c r="U74" s="97"/>
      <c r="V74" s="97">
        <v>0.473588954283917</v>
      </c>
      <c r="W74" s="236">
        <v>9.0</v>
      </c>
      <c r="X74" s="129"/>
      <c r="Y74" s="97"/>
      <c r="Z74" s="97"/>
    </row>
    <row r="90">
      <c r="A90" s="1" t="s">
        <v>152</v>
      </c>
      <c r="B90" s="1">
        <v>0.85</v>
      </c>
      <c r="D90" s="237" t="s">
        <v>153</v>
      </c>
      <c r="E90" s="153">
        <f>(B90*6.626*10^(-34)*3*(10^8))/(2*1.456*0.003)</f>
        <v>0</v>
      </c>
      <c r="G90" s="238"/>
    </row>
    <row r="91">
      <c r="A91" s="1" t="s">
        <v>154</v>
      </c>
      <c r="B91" s="1">
        <f>3.607*10^(-2)</f>
        <v>0.03607</v>
      </c>
      <c r="G91" s="239"/>
    </row>
    <row r="92">
      <c r="G92" s="239"/>
    </row>
    <row r="93">
      <c r="G93" s="239"/>
    </row>
    <row r="94">
      <c r="G94" s="239"/>
    </row>
    <row r="95">
      <c r="G95" s="239"/>
    </row>
    <row r="96">
      <c r="G96" s="239"/>
    </row>
    <row r="97">
      <c r="G97" s="239"/>
    </row>
    <row r="98">
      <c r="G98" s="239"/>
    </row>
  </sheetData>
  <mergeCells count="96">
    <mergeCell ref="K15:K17"/>
    <mergeCell ref="L15:L17"/>
    <mergeCell ref="K18:K20"/>
    <mergeCell ref="L18:L20"/>
    <mergeCell ref="K21:K23"/>
    <mergeCell ref="L21:L23"/>
    <mergeCell ref="K24:K26"/>
    <mergeCell ref="L24:L26"/>
    <mergeCell ref="K6:K8"/>
    <mergeCell ref="L6:L8"/>
    <mergeCell ref="P6:P7"/>
    <mergeCell ref="Q6:Q7"/>
    <mergeCell ref="R6:R7"/>
    <mergeCell ref="L9:L11"/>
    <mergeCell ref="R9:R10"/>
    <mergeCell ref="O6:O7"/>
    <mergeCell ref="O9:O10"/>
    <mergeCell ref="O15:O16"/>
    <mergeCell ref="P15:P16"/>
    <mergeCell ref="Q15:Q16"/>
    <mergeCell ref="R15:R16"/>
    <mergeCell ref="O18:O19"/>
    <mergeCell ref="R18:R19"/>
    <mergeCell ref="P24:P25"/>
    <mergeCell ref="Q24:Q25"/>
    <mergeCell ref="P18:P19"/>
    <mergeCell ref="Q18:Q19"/>
    <mergeCell ref="O21:O22"/>
    <mergeCell ref="P21:P22"/>
    <mergeCell ref="Q21:Q22"/>
    <mergeCell ref="R21:R22"/>
    <mergeCell ref="O24:O25"/>
    <mergeCell ref="R24:R25"/>
    <mergeCell ref="AI6:AI7"/>
    <mergeCell ref="AJ6:AJ7"/>
    <mergeCell ref="AI9:AI10"/>
    <mergeCell ref="AJ9:AJ10"/>
    <mergeCell ref="AK9:AK10"/>
    <mergeCell ref="AL9:AL10"/>
    <mergeCell ref="AI12:AI13"/>
    <mergeCell ref="AL12:AL13"/>
    <mergeCell ref="AJ12:AJ13"/>
    <mergeCell ref="AK12:AK13"/>
    <mergeCell ref="AI15:AI16"/>
    <mergeCell ref="AJ15:AJ16"/>
    <mergeCell ref="AK15:AK16"/>
    <mergeCell ref="AL15:AL16"/>
    <mergeCell ref="AI18:AI19"/>
    <mergeCell ref="AL18:AL19"/>
    <mergeCell ref="AE18:AE20"/>
    <mergeCell ref="AE21:AE23"/>
    <mergeCell ref="AE24:AE26"/>
    <mergeCell ref="AE9:AE11"/>
    <mergeCell ref="AF9:AF11"/>
    <mergeCell ref="AE12:AE14"/>
    <mergeCell ref="AF12:AF14"/>
    <mergeCell ref="AE15:AE17"/>
    <mergeCell ref="AF15:AF17"/>
    <mergeCell ref="AF18:AF20"/>
    <mergeCell ref="K3:K5"/>
    <mergeCell ref="L3:L5"/>
    <mergeCell ref="O3:O4"/>
    <mergeCell ref="P3:P4"/>
    <mergeCell ref="Q3:Q4"/>
    <mergeCell ref="R3:R4"/>
    <mergeCell ref="AE3:AE5"/>
    <mergeCell ref="AK6:AK7"/>
    <mergeCell ref="AL6:AL7"/>
    <mergeCell ref="P9:P10"/>
    <mergeCell ref="Q9:Q10"/>
    <mergeCell ref="O12:O13"/>
    <mergeCell ref="P12:P13"/>
    <mergeCell ref="Q12:Q13"/>
    <mergeCell ref="R12:R13"/>
    <mergeCell ref="AF3:AF5"/>
    <mergeCell ref="AI3:AI4"/>
    <mergeCell ref="AJ3:AJ4"/>
    <mergeCell ref="AK3:AK4"/>
    <mergeCell ref="AL3:AL4"/>
    <mergeCell ref="AE6:AE8"/>
    <mergeCell ref="AF6:AF8"/>
    <mergeCell ref="K9:K11"/>
    <mergeCell ref="K12:K14"/>
    <mergeCell ref="L12:L14"/>
    <mergeCell ref="AF21:AF23"/>
    <mergeCell ref="AF24:AF26"/>
    <mergeCell ref="AJ24:AJ25"/>
    <mergeCell ref="AK24:AK25"/>
    <mergeCell ref="AJ18:AJ19"/>
    <mergeCell ref="AK18:AK19"/>
    <mergeCell ref="AI21:AI22"/>
    <mergeCell ref="AJ21:AJ22"/>
    <mergeCell ref="AK21:AK22"/>
    <mergeCell ref="AL21:AL22"/>
    <mergeCell ref="AI24:AI25"/>
    <mergeCell ref="AL24:AL25"/>
  </mergeCells>
  <drawing r:id="rId4"/>
  <legacyDrawing r:id="rId5"/>
</worksheet>
</file>