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Export" sheetId="1" state="visible" r:id="rId1"/>
    <sheet name="3_Trasmittanza+Fotocorrente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<sst xmlns="http://schemas.openxmlformats.org/spreadsheetml/2006/main" count="65" uniqueCount="65">
  <si>
    <t>ua</t>
  </si>
  <si>
    <t>s_ua</t>
  </si>
  <si>
    <t xml:space="preserve">I [nA]</t>
  </si>
  <si>
    <t>s_I[nA]</t>
  </si>
  <si>
    <t xml:space="preserve">Calcolo trasmittanza e fotocorrente</t>
  </si>
  <si>
    <t xml:space="preserve">Polarizzazione semiconduttore 31.6V</t>
  </si>
  <si>
    <t xml:space="preserve">TABELLE PER RELAZIONE</t>
  </si>
  <si>
    <t>R=1Mohm</t>
  </si>
  <si>
    <t>pm5%</t>
  </si>
  <si>
    <t>fotodiodo</t>
  </si>
  <si>
    <t>fotocorrente</t>
  </si>
  <si>
    <t xml:space="preserve">fotodiodo (alone)</t>
  </si>
  <si>
    <t>0.05MOhm</t>
  </si>
  <si>
    <t xml:space="preserve">V_pp [mV]</t>
  </si>
  <si>
    <t>Sigma[uV]</t>
  </si>
  <si>
    <t xml:space="preserve">V_div [mV]</t>
  </si>
  <si>
    <t xml:space="preserve">s_V_pp [mv]</t>
  </si>
  <si>
    <t xml:space="preserve">V0_pp [mV]</t>
  </si>
  <si>
    <t xml:space="preserve">s_V0_pp [mv]</t>
  </si>
  <si>
    <t>V_trasmesso_pp</t>
  </si>
  <si>
    <t>Fotocorrente</t>
  </si>
  <si>
    <t>V_vuoto_pp</t>
  </si>
  <si>
    <t xml:space="preserve">fit_1 lineare dalla taratura del monocromatore λ(ua)  (con tutti i valori)</t>
  </si>
  <si>
    <t xml:space="preserve">fit Trasmittanza con sigmoide</t>
  </si>
  <si>
    <t xml:space="preserve">fit Fotocorrente con sigmoide</t>
  </si>
  <si>
    <t xml:space="preserve">Primo calcolo di Eg</t>
  </si>
  <si>
    <t>valori</t>
  </si>
  <si>
    <t xml:space="preserve">errori </t>
  </si>
  <si>
    <t>valore</t>
  </si>
  <si>
    <t>errore</t>
  </si>
  <si>
    <t>q</t>
  </si>
  <si>
    <t>b</t>
  </si>
  <si>
    <t>h</t>
  </si>
  <si>
    <t>m</t>
  </si>
  <si>
    <t>➡️</t>
  </si>
  <si>
    <t>A</t>
  </si>
  <si>
    <t>c</t>
  </si>
  <si>
    <t>chi2</t>
  </si>
  <si>
    <t>λ0</t>
  </si>
  <si>
    <t>e</t>
  </si>
  <si>
    <t>NDF</t>
  </si>
  <si>
    <t>Δλ</t>
  </si>
  <si>
    <t>λg</t>
  </si>
  <si>
    <t>nm</t>
  </si>
  <si>
    <t>Formula</t>
  </si>
  <si>
    <r>
      <rPr>
        <b/>
        <color theme="1"/>
        <rFont val="Arial"/>
      </rPr>
      <t>lambda</t>
    </r>
    <r>
      <rPr>
        <color theme="1"/>
        <rFont val="Arial"/>
      </rPr>
      <t xml:space="preserve"> = q + m*ua</t>
    </r>
  </si>
  <si>
    <t>Eg</t>
  </si>
  <si>
    <t>J</t>
  </si>
  <si>
    <t>eV</t>
  </si>
  <si>
    <t xml:space="preserve">prop gaus</t>
  </si>
  <si>
    <t>⬇️</t>
  </si>
  <si>
    <t xml:space="preserve">derivate centrate</t>
  </si>
  <si>
    <t xml:space="preserve">derivate trasmissione</t>
  </si>
  <si>
    <t xml:space="preserve">differenze fotocorrente</t>
  </si>
  <si>
    <t xml:space="preserve">derivate fotocorrente</t>
  </si>
  <si>
    <t xml:space="preserve">e V_pp [mv]</t>
  </si>
  <si>
    <t>dT</t>
  </si>
  <si>
    <t>edT</t>
  </si>
  <si>
    <t xml:space="preserve">Δ V [mv/s]</t>
  </si>
  <si>
    <t xml:space="preserve">eΔV [mv/s]</t>
  </si>
  <si>
    <t xml:space="preserve">e V0_pp [mv]</t>
  </si>
  <si>
    <r>
      <rPr>
        <b/>
        <color theme="1"/>
        <rFont val="Arial"/>
      </rPr>
      <t>lambda</t>
    </r>
    <r>
      <rPr>
        <color theme="1"/>
        <rFont val="Arial"/>
      </rPr>
      <t xml:space="preserve"> = q + m*ua</t>
    </r>
  </si>
  <si>
    <t xml:space="preserve">fti_2 lineare dalla taratura del monocromatore λ(ua)  (senza i punti con ua=520,530,540,550,710)</t>
  </si>
  <si>
    <t xml:space="preserve">fotodiodo passa in millivolt</t>
  </si>
  <si>
    <r>
      <rPr>
        <b/>
        <color theme="1"/>
        <rFont val="Arial"/>
      </rPr>
      <t>lambda</t>
    </r>
    <r>
      <rPr>
        <color theme="1"/>
        <rFont val="Arial"/>
      </rPr>
      <t xml:space="preserve"> = q + m*ua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</si>
</sst>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0.0"/>
    <numFmt numFmtId="165" formatCode="0.000"/>
    <numFmt numFmtId="166" formatCode="0.000E+00"/>
    <numFmt numFmtId="167" formatCode="0.0000"/>
    <numFmt numFmtId="168" formatCode="0.0E+00"/>
    <numFmt numFmtId="169" formatCode="0.0000E+00"/>
    <numFmt numFmtId="170" formatCode="0.00000"/>
    <numFmt numFmtId="171" formatCode="0.000000"/>
  </numFmts>
  <fonts count="20">
    <font>
      <sz val="10.000000"/>
      <name val="Arial"/>
      <scheme val="minor"/>
    </font>
    <font>
      <color theme="1"/>
      <name val="Arial"/>
    </font>
    <font>
      <b/>
      <i/>
      <sz val="12.000000"/>
      <color theme="1"/>
      <name val="Arial"/>
    </font>
    <font>
      <i/>
      <sz val="8.000000"/>
      <color theme="1"/>
      <name val="Arial"/>
    </font>
    <font>
      <b/>
      <color theme="1"/>
      <name val="Arial"/>
    </font>
    <font>
      <b/>
      <u/>
      <sz val="20.000000"/>
      <color theme="1"/>
      <name val="Arial"/>
    </font>
    <font>
      <b/>
      <color rgb="FF4A86E8"/>
      <name val="Arial"/>
    </font>
    <font/>
    <font>
      <b/>
      <color rgb="FF6AA84F"/>
      <name val="Arial"/>
    </font>
    <font>
      <b/>
      <color rgb="FF9900FF"/>
      <name val="Arial"/>
    </font>
    <font>
      <b/>
      <i/>
      <color theme="1"/>
      <name val="Arial"/>
    </font>
    <font>
      <i/>
      <color theme="1"/>
      <name val="Arial"/>
    </font>
    <font>
      <b/>
      <color indexed="4"/>
      <name val="Arial"/>
    </font>
    <font>
      <sz val="14.000000"/>
      <color theme="1"/>
      <name val="Arial"/>
    </font>
    <font>
      <sz val="10.000000"/>
      <name val="Arial"/>
    </font>
    <font>
      <name val="Arial"/>
    </font>
    <font>
      <color theme="1"/>
      <name val="Arial"/>
      <scheme val="minor"/>
    </font>
    <font>
      <b/>
      <name val="Arial"/>
    </font>
    <font>
      <i/>
      <color rgb="FFCC0000"/>
      <name val="Arial"/>
    </font>
    <font>
      <b/>
      <i/>
      <color rgb="FFCC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  <bgColor indexed="65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81">
    <xf fontId="0" fillId="0" borderId="0" numFmtId="0" xfId="0" applyAlignment="1">
      <alignment readingOrder="0"/>
    </xf>
    <xf fontId="0" fillId="0" borderId="0" numFmtId="164" xfId="0" applyNumberFormat="1" applyAlignment="1">
      <alignment readingOrder="0"/>
    </xf>
    <xf fontId="0" fillId="0" borderId="0" numFmtId="1" xfId="0" applyNumberFormat="1" applyAlignment="1">
      <alignment readingOrder="0"/>
    </xf>
    <xf fontId="0" fillId="0" borderId="0" numFmtId="2" xfId="0" applyNumberFormat="1" applyAlignment="1">
      <alignment readingOrder="0"/>
    </xf>
    <xf fontId="1" fillId="0" borderId="0" numFmtId="0" xfId="0" applyFont="1"/>
    <xf fontId="2" fillId="0" borderId="0" numFmtId="0" xfId="0" applyFont="1"/>
    <xf fontId="3" fillId="0" borderId="0" numFmtId="0" xfId="0" applyFont="1"/>
    <xf fontId="4" fillId="2" borderId="1" numFmtId="0" xfId="0" applyFont="1" applyFill="1" applyBorder="1" applyAlignment="1">
      <alignment horizontal="center"/>
    </xf>
    <xf fontId="5" fillId="0" borderId="0" numFmtId="0" xfId="0" applyFont="1" applyAlignment="1">
      <alignment horizontal="center" vertical="center"/>
    </xf>
    <xf fontId="6" fillId="0" borderId="2" numFmtId="0" xfId="0" applyFont="1" applyBorder="1" applyAlignment="1">
      <alignment horizontal="center"/>
    </xf>
    <xf fontId="6" fillId="0" borderId="3" numFmtId="0" xfId="0" applyFont="1" applyBorder="1" applyAlignment="1">
      <alignment horizontal="center"/>
    </xf>
    <xf fontId="7" fillId="0" borderId="3" numFmtId="0" xfId="0" applyFont="1" applyBorder="1"/>
    <xf fontId="8" fillId="0" borderId="2" numFmtId="0" xfId="0" applyFont="1" applyBorder="1" applyAlignment="1">
      <alignment horizontal="center"/>
    </xf>
    <xf fontId="8" fillId="0" borderId="3" numFmtId="0" xfId="0" applyFont="1" applyBorder="1" applyAlignment="1">
      <alignment horizontal="center"/>
    </xf>
    <xf fontId="7" fillId="0" borderId="4" numFmtId="0" xfId="0" applyFont="1" applyBorder="1"/>
    <xf fontId="9" fillId="0" borderId="5" numFmtId="0" xfId="0" applyFont="1" applyBorder="1" applyAlignment="1">
      <alignment horizontal="center"/>
    </xf>
    <xf fontId="7" fillId="0" borderId="6" numFmtId="0" xfId="0" applyFont="1" applyBorder="1"/>
    <xf fontId="7" fillId="0" borderId="7" numFmtId="0" xfId="0" applyFont="1" applyBorder="1"/>
    <xf fontId="10" fillId="0" borderId="3" numFmtId="0" xfId="0" applyFont="1" applyBorder="1" applyAlignment="1">
      <alignment horizontal="right"/>
    </xf>
    <xf fontId="4" fillId="2" borderId="1" numFmtId="0" xfId="0" applyFont="1" applyFill="1" applyBorder="1" applyAlignment="1">
      <alignment horizontal="center" readingOrder="0"/>
    </xf>
    <xf fontId="4" fillId="3" borderId="1" numFmtId="0" xfId="0" applyFont="1" applyFill="1" applyBorder="1" applyAlignment="1">
      <alignment horizontal="center"/>
    </xf>
    <xf fontId="4" fillId="3" borderId="1" numFmtId="0" xfId="0" applyFont="1" applyFill="1" applyBorder="1" applyAlignment="1">
      <alignment horizontal="center" readingOrder="0"/>
    </xf>
    <xf fontId="4" fillId="4" borderId="1" numFmtId="0" xfId="0" applyFont="1" applyFill="1" applyBorder="1" applyAlignment="1">
      <alignment horizontal="center"/>
    </xf>
    <xf fontId="4" fillId="4" borderId="1" numFmtId="0" xfId="0" applyFont="1" applyFill="1" applyBorder="1" applyAlignment="1">
      <alignment horizontal="right"/>
    </xf>
    <xf fontId="1" fillId="0" borderId="0" numFmtId="164" xfId="0" applyNumberFormat="1" applyFont="1"/>
    <xf fontId="1" fillId="0" borderId="0" numFmtId="165" xfId="0" applyNumberFormat="1" applyFont="1"/>
    <xf fontId="1" fillId="0" borderId="0" numFmtId="2" xfId="0" applyNumberFormat="1" applyFont="1"/>
    <xf fontId="4" fillId="0" borderId="8" numFmtId="11" xfId="0" applyNumberFormat="1" applyFont="1" applyBorder="1" applyAlignment="1">
      <alignment horizontal="center"/>
    </xf>
    <xf fontId="11" fillId="0" borderId="0" numFmtId="1" xfId="0" applyNumberFormat="1" applyFont="1" applyAlignment="1">
      <alignment horizontal="right"/>
    </xf>
    <xf fontId="1" fillId="0" borderId="8" numFmtId="2" xfId="0" applyNumberFormat="1" applyFont="1" applyBorder="1" applyAlignment="1">
      <alignment horizontal="center"/>
    </xf>
    <xf fontId="1" fillId="0" borderId="8" numFmtId="1" xfId="0" applyNumberFormat="1" applyFont="1" applyBorder="1" applyAlignment="1">
      <alignment horizontal="center"/>
    </xf>
    <xf fontId="1" fillId="0" borderId="0" numFmtId="165" xfId="0" applyNumberFormat="1" applyFont="1" applyAlignment="1">
      <alignment horizontal="center"/>
    </xf>
    <xf fontId="1" fillId="0" borderId="9" numFmtId="2" xfId="0" applyNumberFormat="1" applyFont="1" applyBorder="1" applyAlignment="1">
      <alignment horizontal="center"/>
    </xf>
    <xf fontId="4" fillId="0" borderId="8" numFmtId="164" xfId="0" applyNumberFormat="1" applyFont="1" applyBorder="1" applyAlignment="1">
      <alignment horizontal="center"/>
    </xf>
    <xf fontId="1" fillId="0" borderId="10" numFmtId="0" xfId="0" applyFont="1" applyBorder="1" applyAlignment="1">
      <alignment horizontal="center"/>
    </xf>
    <xf fontId="1" fillId="0" borderId="8" numFmtId="165" xfId="0" applyNumberFormat="1" applyFont="1" applyBorder="1" applyAlignment="1">
      <alignment horizontal="center"/>
    </xf>
    <xf fontId="1" fillId="0" borderId="10" numFmtId="165" xfId="0" applyNumberFormat="1" applyFont="1" applyBorder="1" applyAlignment="1">
      <alignment horizontal="right"/>
    </xf>
    <xf fontId="1" fillId="0" borderId="10" numFmtId="164" xfId="0" applyNumberFormat="1" applyFont="1" applyBorder="1" applyAlignment="1">
      <alignment horizontal="center"/>
    </xf>
    <xf fontId="1" fillId="0" borderId="1" numFmtId="0" xfId="0" applyFont="1" applyBorder="1"/>
    <xf fontId="0" fillId="5" borderId="1" numFmtId="0" xfId="0" applyFill="1" applyBorder="1" applyAlignment="1">
      <alignment readingOrder="0"/>
    </xf>
    <xf fontId="0" fillId="0" borderId="0" numFmtId="2" xfId="0" applyNumberFormat="1" applyAlignment="1">
      <alignment readingOrder="0"/>
      <protection hidden="0" locked="1"/>
    </xf>
    <xf fontId="10" fillId="5" borderId="1" numFmtId="0" xfId="0" applyFont="1" applyFill="1" applyBorder="1"/>
    <xf fontId="4" fillId="5" borderId="1" numFmtId="0" xfId="0" applyFont="1" applyFill="1" applyBorder="1" applyAlignment="1">
      <alignment readingOrder="0"/>
    </xf>
    <xf fontId="10" fillId="5" borderId="1" numFmtId="0" xfId="0" applyFont="1" applyFill="1" applyBorder="1" applyAlignment="1">
      <alignment readingOrder="0"/>
    </xf>
    <xf fontId="0" fillId="5" borderId="1" numFmtId="0" xfId="0" applyFill="1" applyBorder="1" applyAlignment="1">
      <alignment readingOrder="0"/>
      <protection hidden="0" locked="1"/>
    </xf>
    <xf fontId="10" fillId="6" borderId="0" numFmtId="0" xfId="0" applyFont="1" applyFill="1"/>
    <xf fontId="1" fillId="6" borderId="0" numFmtId="164" xfId="0" applyNumberFormat="1" applyFont="1" applyFill="1"/>
    <xf fontId="1" fillId="6" borderId="0" numFmtId="165" xfId="0" applyNumberFormat="1" applyFont="1" applyFill="1"/>
    <xf fontId="0" fillId="0" borderId="0" numFmtId="2" xfId="0" applyNumberFormat="1">
      <protection hidden="0" locked="1"/>
    </xf>
    <xf fontId="0" fillId="0" borderId="0" numFmtId="2" xfId="0" applyNumberFormat="1"/>
    <xf fontId="10" fillId="6" borderId="0" numFmtId="0" xfId="0" applyFont="1" applyFill="1" applyAlignment="1">
      <alignment readingOrder="0"/>
    </xf>
    <xf fontId="1" fillId="6" borderId="0" numFmtId="0" xfId="0" applyFont="1" applyFill="1"/>
    <xf fontId="11" fillId="5" borderId="1" numFmtId="1" xfId="0" applyNumberFormat="1" applyFont="1" applyFill="1" applyBorder="1"/>
    <xf fontId="1" fillId="5" borderId="1" numFmtId="164" xfId="0" applyNumberFormat="1" applyFont="1" applyFill="1" applyBorder="1" applyAlignment="1">
      <alignment readingOrder="0"/>
    </xf>
    <xf fontId="11" fillId="5" borderId="1" numFmtId="1" xfId="0" applyNumberFormat="1" applyFont="1" applyFill="1" applyBorder="1" applyAlignment="1">
      <alignment readingOrder="0"/>
    </xf>
    <xf fontId="0" fillId="5" borderId="1" numFmtId="164" xfId="0" applyNumberFormat="1" applyFill="1" applyBorder="1" applyAlignment="1">
      <alignment readingOrder="0"/>
    </xf>
    <xf fontId="1" fillId="0" borderId="5" numFmtId="0" xfId="0" applyFont="1" applyBorder="1"/>
    <xf fontId="12" fillId="0" borderId="11" numFmtId="164" xfId="0" applyNumberFormat="1" applyFont="1" applyBorder="1" applyAlignment="1">
      <alignment horizontal="center"/>
    </xf>
    <xf fontId="12" fillId="0" borderId="11" numFmtId="165" xfId="0" applyNumberFormat="1" applyFont="1" applyBorder="1" applyAlignment="1">
      <alignment horizontal="center"/>
    </xf>
    <xf fontId="1" fillId="0" borderId="12" numFmtId="0" xfId="0" applyFont="1" applyBorder="1"/>
    <xf fontId="12" fillId="0" borderId="7" numFmtId="0" xfId="0" applyFont="1" applyBorder="1" applyAlignment="1">
      <alignment horizontal="center"/>
    </xf>
    <xf fontId="12" fillId="0" borderId="11" numFmtId="0" xfId="0" applyFont="1" applyBorder="1" applyAlignment="1">
      <alignment horizontal="center"/>
    </xf>
    <xf fontId="12" fillId="0" borderId="4" numFmtId="0" xfId="0" applyFont="1" applyBorder="1" applyAlignment="1">
      <alignment horizontal="center"/>
    </xf>
    <xf fontId="12" fillId="0" borderId="1" numFmtId="0" xfId="0" applyFont="1" applyBorder="1" applyAlignment="1">
      <alignment horizontal="center"/>
    </xf>
    <xf fontId="0" fillId="5" borderId="1" numFmtId="164" xfId="0" applyNumberFormat="1" applyFill="1" applyBorder="1" applyAlignment="1">
      <alignment readingOrder="0"/>
      <protection hidden="0" locked="1"/>
    </xf>
    <xf fontId="12" fillId="6" borderId="5" numFmtId="0" xfId="0" applyFont="1" applyFill="1" applyBorder="1" applyAlignment="1">
      <alignment horizontal="center"/>
    </xf>
    <xf fontId="1" fillId="6" borderId="11" numFmtId="49" xfId="0" applyNumberFormat="1" applyFont="1" applyFill="1" applyBorder="1" applyAlignment="1">
      <alignment horizontal="center"/>
    </xf>
    <xf fontId="12" fillId="6" borderId="13" numFmtId="0" xfId="0" applyFont="1" applyFill="1" applyBorder="1" applyAlignment="1">
      <alignment horizontal="center"/>
    </xf>
    <xf fontId="1" fillId="6" borderId="1" numFmtId="165" xfId="0" applyNumberFormat="1" applyFont="1" applyFill="1" applyBorder="1" applyAlignment="1">
      <alignment horizontal="center" readingOrder="0"/>
    </xf>
    <xf fontId="1" fillId="6" borderId="1" numFmtId="164" xfId="0" applyNumberFormat="1" applyFont="1" applyFill="1" applyBorder="1" applyAlignment="1">
      <alignment horizontal="center" readingOrder="0"/>
    </xf>
    <xf fontId="1" fillId="0" borderId="1" numFmtId="11" xfId="0" applyNumberFormat="1" applyFont="1" applyBorder="1" applyAlignment="1">
      <alignment horizontal="right"/>
    </xf>
    <xf fontId="12" fillId="0" borderId="14" numFmtId="0" xfId="0" applyFont="1" applyBorder="1" applyAlignment="1">
      <alignment horizontal="center"/>
    </xf>
    <xf fontId="1" fillId="6" borderId="11" numFmtId="11" xfId="0" applyNumberFormat="1" applyFont="1" applyFill="1" applyBorder="1" applyAlignment="1">
      <alignment horizontal="center"/>
    </xf>
    <xf fontId="13" fillId="0" borderId="0" numFmtId="2" xfId="0" applyNumberFormat="1" applyFont="1" applyAlignment="1">
      <alignment horizontal="center" vertical="center"/>
    </xf>
    <xf fontId="13" fillId="0" borderId="0" numFmtId="0" xfId="0" applyFont="1" applyAlignment="1">
      <alignment horizontal="center"/>
    </xf>
    <xf fontId="1" fillId="6" borderId="1" numFmtId="2" xfId="0" applyNumberFormat="1" applyFont="1" applyFill="1" applyBorder="1" applyAlignment="1">
      <alignment horizontal="center" readingOrder="0"/>
    </xf>
    <xf fontId="12" fillId="6" borderId="1" numFmtId="0" xfId="0" applyFont="1" applyFill="1" applyBorder="1" applyAlignment="1">
      <alignment horizontal="center"/>
    </xf>
    <xf fontId="1" fillId="6" borderId="11" numFmtId="11" xfId="0" applyNumberFormat="1" applyFont="1" applyFill="1" applyBorder="1"/>
    <xf fontId="1" fillId="0" borderId="1" numFmtId="164" xfId="0" applyNumberFormat="1" applyFont="1" applyBorder="1" applyAlignment="1">
      <alignment horizontal="center" readingOrder="0"/>
    </xf>
    <xf fontId="1" fillId="6" borderId="1" numFmtId="49" xfId="0" applyNumberFormat="1" applyFont="1" applyFill="1" applyBorder="1" applyAlignment="1">
      <alignment horizontal="center"/>
    </xf>
    <xf fontId="1" fillId="6" borderId="1" numFmtId="11" xfId="0" applyNumberFormat="1" applyFont="1" applyFill="1" applyBorder="1"/>
    <xf fontId="4" fillId="0" borderId="8" numFmtId="165" xfId="0" applyNumberFormat="1" applyFont="1" applyBorder="1" applyAlignment="1">
      <alignment horizontal="center"/>
    </xf>
    <xf fontId="14" fillId="0" borderId="1" numFmtId="165" xfId="0" applyNumberFormat="1" applyFont="1" applyBorder="1" applyAlignment="1">
      <alignment horizontal="center"/>
    </xf>
    <xf fontId="15" fillId="0" borderId="1" numFmtId="2" xfId="0" applyNumberFormat="1" applyFont="1" applyBorder="1" applyAlignment="1">
      <alignment horizontal="center"/>
    </xf>
    <xf fontId="16" fillId="0" borderId="0" numFmtId="0" xfId="0" applyFont="1" applyAlignment="1">
      <alignment horizontal="left" readingOrder="0"/>
    </xf>
    <xf fontId="1" fillId="6" borderId="1" numFmtId="0" xfId="0" applyFont="1" applyFill="1" applyBorder="1"/>
    <xf fontId="1" fillId="6" borderId="1" numFmtId="164" xfId="0" applyNumberFormat="1" applyFont="1" applyFill="1" applyBorder="1"/>
    <xf fontId="15" fillId="0" borderId="1" numFmtId="166" xfId="0" applyNumberFormat="1" applyFont="1" applyBorder="1" applyAlignment="1">
      <alignment horizontal="center"/>
    </xf>
    <xf fontId="15" fillId="0" borderId="1" numFmtId="11" xfId="0" applyNumberFormat="1" applyFont="1" applyBorder="1" applyAlignment="1">
      <alignment horizontal="center"/>
    </xf>
    <xf fontId="1" fillId="0" borderId="0" numFmtId="0" xfId="0" applyFont="1" applyAlignment="1">
      <alignment horizontal="left" readingOrder="0"/>
    </xf>
    <xf fontId="11" fillId="0" borderId="1" numFmtId="0" xfId="0" applyFont="1" applyBorder="1" applyAlignment="1">
      <alignment horizontal="center"/>
    </xf>
    <xf fontId="1" fillId="6" borderId="2" numFmtId="164" xfId="0" applyNumberFormat="1" applyFont="1" applyFill="1" applyBorder="1"/>
    <xf fontId="1" fillId="6" borderId="4" numFmtId="165" xfId="0" applyNumberFormat="1" applyFont="1" applyFill="1" applyBorder="1"/>
    <xf fontId="4" fillId="0" borderId="8" numFmtId="167" xfId="0" applyNumberFormat="1" applyFont="1" applyBorder="1" applyAlignment="1">
      <alignment horizontal="center"/>
    </xf>
    <xf fontId="1" fillId="6" borderId="1" numFmtId="0" xfId="0" applyFont="1" applyFill="1" applyBorder="1" applyAlignment="1">
      <alignment horizontal="center" readingOrder="0"/>
    </xf>
    <xf fontId="1" fillId="6" borderId="1" numFmtId="1" xfId="0" applyNumberFormat="1" applyFont="1" applyFill="1" applyBorder="1" applyAlignment="1">
      <alignment horizontal="center"/>
    </xf>
    <xf fontId="15" fillId="0" borderId="1" numFmtId="168" xfId="0" applyNumberFormat="1" applyFont="1" applyBorder="1" applyAlignment="1">
      <alignment horizontal="center"/>
    </xf>
    <xf fontId="17" fillId="0" borderId="1" numFmtId="2" xfId="0" applyNumberFormat="1" applyFont="1" applyBorder="1" applyAlignment="1">
      <alignment horizontal="center"/>
    </xf>
    <xf fontId="1" fillId="6" borderId="0" numFmtId="11" xfId="0" applyNumberFormat="1" applyFont="1" applyFill="1"/>
    <xf fontId="0" fillId="5" borderId="1" numFmtId="1" xfId="0" applyNumberFormat="1" applyFill="1" applyBorder="1" applyAlignment="1">
      <alignment readingOrder="0"/>
      <protection hidden="0" locked="1"/>
    </xf>
    <xf fontId="0" fillId="5" borderId="1" numFmtId="1" xfId="0" applyNumberFormat="1" applyFill="1" applyBorder="1" applyAlignment="1">
      <alignment readingOrder="0"/>
    </xf>
    <xf fontId="18" fillId="0" borderId="0" numFmtId="1" xfId="0" applyNumberFormat="1" applyFont="1" applyAlignment="1">
      <alignment horizontal="right"/>
    </xf>
    <xf fontId="18" fillId="5" borderId="1" numFmtId="1" xfId="0" applyNumberFormat="1" applyFont="1" applyFill="1" applyBorder="1"/>
    <xf fontId="18" fillId="5" borderId="1" numFmtId="1" xfId="0" applyNumberFormat="1" applyFont="1" applyFill="1" applyBorder="1" applyAlignment="1">
      <alignment readingOrder="0"/>
    </xf>
    <xf fontId="1" fillId="0" borderId="0" numFmtId="169" xfId="0" applyNumberFormat="1" applyFont="1" applyAlignment="1">
      <alignment horizontal="center"/>
    </xf>
    <xf fontId="1" fillId="0" borderId="0" numFmtId="167" xfId="0" applyNumberFormat="1" applyFont="1"/>
    <xf fontId="4" fillId="0" borderId="8" numFmtId="166" xfId="0" applyNumberFormat="1" applyFont="1" applyBorder="1" applyAlignment="1">
      <alignment horizontal="center"/>
    </xf>
    <xf fontId="11" fillId="0" borderId="15" numFmtId="1" xfId="0" applyNumberFormat="1" applyFont="1" applyBorder="1" applyAlignment="1">
      <alignment horizontal="right"/>
    </xf>
    <xf fontId="1" fillId="0" borderId="12" numFmtId="2" xfId="0" applyNumberFormat="1" applyFont="1" applyBorder="1" applyAlignment="1">
      <alignment horizontal="center"/>
    </xf>
    <xf fontId="1" fillId="0" borderId="12" numFmtId="1" xfId="0" applyNumberFormat="1" applyFont="1" applyBorder="1" applyAlignment="1">
      <alignment horizontal="center"/>
    </xf>
    <xf fontId="1" fillId="0" borderId="15" numFmtId="169" xfId="0" applyNumberFormat="1" applyFont="1" applyBorder="1" applyAlignment="1">
      <alignment horizontal="center"/>
    </xf>
    <xf fontId="4" fillId="0" borderId="12" numFmtId="11" xfId="0" applyNumberFormat="1" applyFont="1" applyBorder="1" applyAlignment="1">
      <alignment horizontal="center"/>
    </xf>
    <xf fontId="4" fillId="0" borderId="12" numFmtId="164" xfId="0" applyNumberFormat="1" applyFont="1" applyBorder="1" applyAlignment="1">
      <alignment horizontal="center"/>
    </xf>
    <xf fontId="1" fillId="0" borderId="13" numFmtId="0" xfId="0" applyFont="1" applyBorder="1" applyAlignment="1">
      <alignment horizontal="center"/>
    </xf>
    <xf fontId="1" fillId="0" borderId="12" numFmtId="165" xfId="0" applyNumberFormat="1" applyFont="1" applyBorder="1" applyAlignment="1">
      <alignment horizontal="center"/>
    </xf>
    <xf fontId="1" fillId="0" borderId="13" numFmtId="165" xfId="0" applyNumberFormat="1" applyFont="1" applyBorder="1" applyAlignment="1">
      <alignment horizontal="right"/>
    </xf>
    <xf fontId="1" fillId="0" borderId="0" numFmtId="1" xfId="0" applyNumberFormat="1" applyFont="1"/>
    <xf fontId="1" fillId="0" borderId="0" numFmtId="169" xfId="0" applyNumberFormat="1" applyFont="1"/>
    <xf fontId="0" fillId="5" borderId="1" numFmtId="2" xfId="0" applyNumberFormat="1" applyFill="1" applyBorder="1" applyAlignment="1">
      <alignment readingOrder="0"/>
      <protection hidden="0" locked="1"/>
    </xf>
    <xf fontId="0" fillId="5" borderId="1" numFmtId="2" xfId="0" applyNumberFormat="1" applyFill="1" applyBorder="1" applyAlignment="1">
      <alignment readingOrder="0"/>
    </xf>
    <xf fontId="1" fillId="0" borderId="0" numFmtId="166" xfId="0" applyNumberFormat="1" applyFont="1"/>
    <xf fontId="1" fillId="5" borderId="1" numFmtId="0" xfId="0" applyFont="1" applyFill="1" applyBorder="1"/>
    <xf fontId="1" fillId="5" borderId="1" numFmtId="0" xfId="0" applyFont="1" applyFill="1" applyBorder="1" applyAlignment="1">
      <alignment readingOrder="0"/>
    </xf>
    <xf fontId="1" fillId="0" borderId="0" numFmtId="11" xfId="0" applyNumberFormat="1" applyFont="1"/>
    <xf fontId="1" fillId="0" borderId="0" numFmtId="0" xfId="0" applyFont="1" applyAlignment="1">
      <alignment horizontal="center"/>
    </xf>
    <xf fontId="6" fillId="0" borderId="2" numFmtId="2" xfId="0" applyNumberFormat="1" applyFont="1" applyBorder="1" applyAlignment="1">
      <alignment horizontal="center"/>
    </xf>
    <xf fontId="6" fillId="0" borderId="3" numFmtId="2" xfId="0" applyNumberFormat="1" applyFont="1" applyBorder="1" applyAlignment="1">
      <alignment horizontal="center"/>
    </xf>
    <xf fontId="7" fillId="0" borderId="3" numFmtId="2" xfId="0" applyNumberFormat="1" applyFont="1" applyBorder="1"/>
    <xf fontId="1" fillId="0" borderId="2" numFmtId="0" xfId="0" applyFont="1" applyBorder="1" applyAlignment="1">
      <alignment horizontal="center"/>
    </xf>
    <xf fontId="1" fillId="0" borderId="3" numFmtId="0" xfId="0" applyFont="1" applyBorder="1" applyAlignment="1">
      <alignment horizontal="center"/>
    </xf>
    <xf fontId="1" fillId="0" borderId="2" numFmtId="11" xfId="0" applyNumberFormat="1" applyFont="1" applyBorder="1"/>
    <xf fontId="1" fillId="0" borderId="3" numFmtId="0" xfId="0" applyFont="1" applyBorder="1"/>
    <xf fontId="6" fillId="0" borderId="1" numFmtId="0" xfId="0" applyFont="1" applyBorder="1"/>
    <xf fontId="1" fillId="0" borderId="11" numFmtId="0" xfId="0" applyFont="1" applyBorder="1"/>
    <xf fontId="1" fillId="0" borderId="4" numFmtId="0" xfId="0" applyFont="1" applyBorder="1"/>
    <xf fontId="8" fillId="0" borderId="2" numFmtId="0" xfId="0" applyFont="1" applyBorder="1"/>
    <xf fontId="9" fillId="0" borderId="5" numFmtId="0" xfId="0" applyFont="1" applyBorder="1"/>
    <xf fontId="1" fillId="0" borderId="6" numFmtId="0" xfId="0" applyFont="1" applyBorder="1"/>
    <xf fontId="1" fillId="0" borderId="7" numFmtId="0" xfId="0" applyFont="1" applyBorder="1"/>
    <xf fontId="10" fillId="0" borderId="3" numFmtId="167" xfId="0" applyNumberFormat="1" applyFont="1" applyBorder="1" applyAlignment="1">
      <alignment horizontal="right"/>
    </xf>
    <xf fontId="4" fillId="6" borderId="1" numFmtId="2" xfId="0" applyNumberFormat="1" applyFont="1" applyFill="1" applyBorder="1" applyAlignment="1">
      <alignment horizontal="center"/>
    </xf>
    <xf fontId="1" fillId="0" borderId="1" numFmtId="0" xfId="0" applyFont="1" applyBorder="1" applyAlignment="1">
      <alignment horizontal="center"/>
    </xf>
    <xf fontId="1" fillId="0" borderId="11" numFmtId="0" xfId="0" applyFont="1" applyBorder="1" applyAlignment="1">
      <alignment horizontal="center"/>
    </xf>
    <xf fontId="4" fillId="0" borderId="10" numFmtId="0" xfId="0" applyFont="1" applyBorder="1" applyAlignment="1">
      <alignment horizontal="center"/>
    </xf>
    <xf fontId="4" fillId="0" borderId="1" numFmtId="0" xfId="0" applyFont="1" applyBorder="1" applyAlignment="1">
      <alignment horizontal="center"/>
    </xf>
    <xf fontId="4" fillId="6" borderId="1" numFmtId="0" xfId="0" applyFont="1" applyFill="1" applyBorder="1" applyAlignment="1">
      <alignment horizontal="center"/>
    </xf>
    <xf fontId="4" fillId="0" borderId="11" numFmtId="0" xfId="0" applyFont="1" applyBorder="1" applyAlignment="1">
      <alignment horizontal="center"/>
    </xf>
    <xf fontId="4" fillId="6" borderId="1" numFmtId="0" xfId="0" applyFont="1" applyFill="1" applyBorder="1" applyAlignment="1">
      <alignment horizontal="right"/>
    </xf>
    <xf fontId="11" fillId="0" borderId="0" numFmtId="0" xfId="0" applyFont="1" applyAlignment="1">
      <alignment horizontal="right"/>
    </xf>
    <xf fontId="1" fillId="0" borderId="10" numFmtId="2" xfId="0" applyNumberFormat="1" applyFont="1" applyBorder="1" applyAlignment="1">
      <alignment horizontal="center"/>
    </xf>
    <xf fontId="1" fillId="0" borderId="10" numFmtId="0" xfId="0" applyFont="1" applyBorder="1"/>
    <xf fontId="1" fillId="0" borderId="9" numFmtId="0" xfId="0" applyFont="1" applyBorder="1"/>
    <xf fontId="1" fillId="0" borderId="11" numFmtId="165" xfId="0" applyNumberFormat="1" applyFont="1" applyBorder="1"/>
    <xf fontId="4" fillId="0" borderId="7" numFmtId="167" xfId="0" applyNumberFormat="1" applyFont="1" applyBorder="1" applyAlignment="1">
      <alignment horizontal="center"/>
    </xf>
    <xf fontId="1" fillId="0" borderId="11" numFmtId="2" xfId="0" applyNumberFormat="1" applyFont="1" applyBorder="1" applyAlignment="1">
      <alignment horizontal="right"/>
    </xf>
    <xf fontId="1" fillId="0" borderId="8" numFmtId="2" xfId="0" applyNumberFormat="1" applyFont="1" applyBorder="1" applyAlignment="1">
      <alignment horizontal="right"/>
    </xf>
    <xf fontId="4" fillId="0" borderId="11" numFmtId="170" xfId="0" applyNumberFormat="1" applyFont="1" applyBorder="1" applyAlignment="1">
      <alignment horizontal="center"/>
    </xf>
    <xf fontId="4" fillId="0" borderId="8" numFmtId="170" xfId="0" applyNumberFormat="1" applyFont="1" applyBorder="1" applyAlignment="1">
      <alignment horizontal="center"/>
    </xf>
    <xf fontId="1" fillId="0" borderId="10" numFmtId="1" xfId="0" applyNumberFormat="1" applyFont="1" applyBorder="1" applyAlignment="1">
      <alignment horizontal="right"/>
    </xf>
    <xf fontId="1" fillId="0" borderId="10" numFmtId="165" xfId="0" applyNumberFormat="1" applyFont="1" applyBorder="1"/>
    <xf fontId="1" fillId="0" borderId="10" numFmtId="2" xfId="0" applyNumberFormat="1" applyFont="1" applyBorder="1" applyAlignment="1">
      <alignment horizontal="right"/>
    </xf>
    <xf fontId="4" fillId="0" borderId="10" numFmtId="170" xfId="0" applyNumberFormat="1" applyFont="1" applyBorder="1" applyAlignment="1">
      <alignment horizontal="center"/>
    </xf>
    <xf fontId="1" fillId="6" borderId="1" numFmtId="11" xfId="0" applyNumberFormat="1" applyFont="1" applyFill="1" applyBorder="1" applyAlignment="1">
      <alignment horizontal="center"/>
    </xf>
    <xf fontId="1" fillId="6" borderId="2" numFmtId="0" xfId="0" applyFont="1" applyFill="1" applyBorder="1"/>
    <xf fontId="1" fillId="6" borderId="4" numFmtId="0" xfId="0" applyFont="1" applyFill="1" applyBorder="1"/>
    <xf fontId="1" fillId="0" borderId="10" numFmtId="11" xfId="0" applyNumberFormat="1" applyFont="1" applyBorder="1"/>
    <xf fontId="1" fillId="0" borderId="9" numFmtId="11" xfId="0" applyNumberFormat="1" applyFont="1" applyBorder="1"/>
    <xf fontId="19" fillId="0" borderId="0" numFmtId="167" xfId="0" applyNumberFormat="1" applyFont="1"/>
    <xf fontId="18" fillId="0" borderId="0" numFmtId="0" xfId="0" applyFont="1" applyAlignment="1">
      <alignment horizontal="right"/>
    </xf>
    <xf fontId="1" fillId="0" borderId="14" numFmtId="0" xfId="0" applyFont="1" applyBorder="1"/>
    <xf fontId="1" fillId="0" borderId="13" numFmtId="165" xfId="0" applyNumberFormat="1" applyFont="1" applyBorder="1"/>
    <xf fontId="4" fillId="0" borderId="12" numFmtId="167" xfId="0" applyNumberFormat="1" applyFont="1" applyBorder="1" applyAlignment="1">
      <alignment horizontal="center"/>
    </xf>
    <xf fontId="4" fillId="0" borderId="13" numFmtId="170" xfId="0" applyNumberFormat="1" applyFont="1" applyBorder="1" applyAlignment="1">
      <alignment horizontal="center"/>
    </xf>
    <xf fontId="4" fillId="0" borderId="12" numFmtId="170" xfId="0" applyNumberFormat="1" applyFont="1" applyBorder="1" applyAlignment="1">
      <alignment horizontal="center"/>
    </xf>
    <xf fontId="11" fillId="0" borderId="15" numFmtId="0" xfId="0" applyFont="1" applyBorder="1" applyAlignment="1">
      <alignment horizontal="right"/>
    </xf>
    <xf fontId="1" fillId="0" borderId="13" numFmtId="2" xfId="0" applyNumberFormat="1" applyFont="1" applyBorder="1" applyAlignment="1">
      <alignment horizontal="center"/>
    </xf>
    <xf fontId="1" fillId="0" borderId="14" numFmtId="2" xfId="0" applyNumberFormat="1" applyFont="1" applyBorder="1" applyAlignment="1">
      <alignment horizontal="center"/>
    </xf>
    <xf fontId="1" fillId="0" borderId="13" numFmtId="0" xfId="0" applyFont="1" applyBorder="1"/>
    <xf fontId="1" fillId="0" borderId="13" numFmtId="1" xfId="0" applyNumberFormat="1" applyFont="1" applyBorder="1" applyAlignment="1">
      <alignment horizontal="right"/>
    </xf>
    <xf fontId="1" fillId="0" borderId="0" numFmtId="170" xfId="0" applyNumberFormat="1" applyFont="1"/>
    <xf fontId="1" fillId="0" borderId="0" numFmtId="171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740</v>
      </c>
      <c r="B2">
        <v>0.10000000000000001</v>
      </c>
      <c r="C2" s="1">
        <v>0.5706</v>
      </c>
      <c r="D2" s="1">
        <v>0.23001621355895763</v>
      </c>
    </row>
    <row r="3">
      <c r="A3">
        <v>730</v>
      </c>
      <c r="B3">
        <v>0.10000000000000001</v>
      </c>
      <c r="C3" s="1">
        <v>0.61126999999999998</v>
      </c>
      <c r="D3" s="1">
        <v>0.24641081469012274</v>
      </c>
    </row>
    <row r="4">
      <c r="A4">
        <v>720</v>
      </c>
      <c r="B4">
        <v>0.10000000000000001</v>
      </c>
      <c r="C4" s="1">
        <v>0.48731999999999998</v>
      </c>
      <c r="D4" s="1">
        <v>0.19644497229504246</v>
      </c>
    </row>
    <row r="5">
      <c r="A5">
        <v>710</v>
      </c>
      <c r="B5">
        <v>0.10000000000000001</v>
      </c>
      <c r="C5" s="1">
        <v>0.62810999999999995</v>
      </c>
      <c r="D5" s="1">
        <v>0.25319923571419012</v>
      </c>
    </row>
    <row r="6">
      <c r="A6">
        <v>690</v>
      </c>
      <c r="B6">
        <v>0.10000000000000001</v>
      </c>
      <c r="C6" s="1">
        <v>0.94791999999999998</v>
      </c>
      <c r="D6" s="1">
        <v>0.19541871423177468</v>
      </c>
    </row>
    <row r="7">
      <c r="A7">
        <v>680</v>
      </c>
      <c r="B7">
        <v>0.10000000000000001</v>
      </c>
      <c r="C7" s="1">
        <v>0.99187999999999998</v>
      </c>
      <c r="D7" s="1">
        <v>0.20448130039688228</v>
      </c>
    </row>
    <row r="8">
      <c r="A8">
        <v>670</v>
      </c>
      <c r="B8">
        <v>0.10000000000000001</v>
      </c>
      <c r="C8" s="1">
        <v>0.97848999999999997</v>
      </c>
      <c r="D8" s="1">
        <v>0.20172088118053128</v>
      </c>
    </row>
    <row r="9">
      <c r="A9">
        <v>660</v>
      </c>
      <c r="B9">
        <v>0.10000000000000001</v>
      </c>
      <c r="C9" s="1">
        <v>1.1180000000000001</v>
      </c>
      <c r="D9" s="1">
        <v>0.23048160447202728</v>
      </c>
    </row>
    <row r="10">
      <c r="A10">
        <v>650</v>
      </c>
      <c r="B10">
        <v>0.10000000000000001</v>
      </c>
      <c r="C10" s="1">
        <v>1.944</v>
      </c>
      <c r="D10" s="1">
        <v>0.40076586681003668</v>
      </c>
    </row>
    <row r="11">
      <c r="A11">
        <v>648</v>
      </c>
      <c r="B11">
        <v>0.10000000000000001</v>
      </c>
      <c r="C11" s="1">
        <v>2.4135</v>
      </c>
      <c r="D11" s="1">
        <v>0.49755577137141127</v>
      </c>
    </row>
    <row r="12">
      <c r="A12">
        <v>646</v>
      </c>
      <c r="B12">
        <v>0.10000000000000001</v>
      </c>
      <c r="C12" s="1">
        <v>3.0600000000000001</v>
      </c>
      <c r="D12" s="1">
        <v>0.63083516071950219</v>
      </c>
    </row>
    <row r="13">
      <c r="A13">
        <v>644</v>
      </c>
      <c r="B13">
        <v>0.10000000000000001</v>
      </c>
      <c r="C13" s="1">
        <v>4.2404000000000002</v>
      </c>
      <c r="D13" s="1">
        <v>0.87418085474345653</v>
      </c>
    </row>
    <row r="14">
      <c r="A14">
        <v>642</v>
      </c>
      <c r="B14">
        <v>0.10000000000000001</v>
      </c>
      <c r="C14" s="2">
        <v>5.5340999999999996</v>
      </c>
      <c r="D14" s="2">
        <v>2.2308670302429503</v>
      </c>
    </row>
    <row r="15">
      <c r="A15">
        <v>640</v>
      </c>
      <c r="B15">
        <v>0.10000000000000001</v>
      </c>
      <c r="C15" s="2">
        <v>6.9374000000000002</v>
      </c>
      <c r="D15" s="2">
        <v>2.7965553451523184</v>
      </c>
    </row>
    <row r="16">
      <c r="A16">
        <v>638</v>
      </c>
      <c r="B16">
        <v>0.10000000000000001</v>
      </c>
      <c r="C16" s="2">
        <v>8.1448</v>
      </c>
      <c r="D16" s="2">
        <v>3.2832738454171015</v>
      </c>
    </row>
    <row r="17">
      <c r="A17">
        <v>636</v>
      </c>
      <c r="B17">
        <v>0.10000000000000001</v>
      </c>
      <c r="C17" s="2">
        <v>8.4763999999999999</v>
      </c>
      <c r="D17" s="2">
        <v>3.4169460788838917</v>
      </c>
    </row>
    <row r="18">
      <c r="A18">
        <v>634</v>
      </c>
      <c r="B18">
        <v>0.10000000000000001</v>
      </c>
      <c r="C18" s="2">
        <v>7.4706999999999999</v>
      </c>
      <c r="D18" s="2">
        <v>3.0115354480106991</v>
      </c>
    </row>
    <row r="19">
      <c r="A19">
        <v>632</v>
      </c>
      <c r="B19">
        <v>0.10000000000000001</v>
      </c>
      <c r="C19" s="2">
        <v>5.5898000000000003</v>
      </c>
      <c r="D19" s="2">
        <v>2.2533204180719619</v>
      </c>
    </row>
    <row r="20">
      <c r="A20">
        <v>630</v>
      </c>
      <c r="B20">
        <v>0.10000000000000001</v>
      </c>
      <c r="C20" s="1">
        <v>4.4150999999999998</v>
      </c>
      <c r="D20" s="1">
        <v>1.7797837092256463</v>
      </c>
    </row>
    <row r="21">
      <c r="A21">
        <v>625</v>
      </c>
      <c r="B21">
        <v>0.10000000000000001</v>
      </c>
      <c r="C21" s="1">
        <v>4.1463999999999999</v>
      </c>
      <c r="D21" s="1">
        <v>0.85480225830305345</v>
      </c>
    </row>
    <row r="22">
      <c r="A22">
        <v>620</v>
      </c>
      <c r="B22">
        <v>0.10000000000000001</v>
      </c>
      <c r="C22" s="1">
        <v>3.9171999999999998</v>
      </c>
      <c r="D22" s="1">
        <v>0.80755146783347509</v>
      </c>
    </row>
    <row r="23">
      <c r="A23">
        <v>610</v>
      </c>
      <c r="B23">
        <v>0.10000000000000001</v>
      </c>
      <c r="C23" s="1">
        <v>3.1383000000000001</v>
      </c>
      <c r="D23" s="1">
        <v>0.64697711924379531</v>
      </c>
    </row>
    <row r="24">
      <c r="A24">
        <v>600</v>
      </c>
      <c r="B24">
        <v>0.10000000000000001</v>
      </c>
      <c r="C24" s="1">
        <v>2.3658999999999999</v>
      </c>
      <c r="D24" s="1">
        <v>0.4877427799824412</v>
      </c>
    </row>
    <row r="25">
      <c r="A25">
        <v>590</v>
      </c>
      <c r="B25">
        <v>0.10000000000000001</v>
      </c>
      <c r="C25" s="1">
        <v>1.7081999999999999</v>
      </c>
      <c r="D25" s="1">
        <v>0.35215445148400443</v>
      </c>
    </row>
    <row r="26">
      <c r="A26">
        <v>580</v>
      </c>
      <c r="B26">
        <v>0.10000000000000001</v>
      </c>
      <c r="C26" s="1">
        <v>1.3029999999999999</v>
      </c>
      <c r="D26" s="1">
        <v>0.26862033150899062</v>
      </c>
    </row>
    <row r="27">
      <c r="A27">
        <v>570</v>
      </c>
      <c r="B27">
        <v>0.10000000000000001</v>
      </c>
      <c r="C27" s="3">
        <v>0.93610000000000004</v>
      </c>
      <c r="D27" s="3">
        <v>0.19298195880703464</v>
      </c>
    </row>
    <row r="28">
      <c r="A28">
        <v>560</v>
      </c>
      <c r="B28">
        <v>0.10000000000000001</v>
      </c>
      <c r="C28" s="3">
        <v>0.83167000000000002</v>
      </c>
      <c r="D28" s="3">
        <v>0.17145316278287201</v>
      </c>
    </row>
    <row r="29">
      <c r="A29">
        <v>550</v>
      </c>
      <c r="B29">
        <v>0.10000000000000001</v>
      </c>
      <c r="C29" s="3">
        <v>0.64524000000000004</v>
      </c>
      <c r="D29" s="3">
        <v>0.133019633693677</v>
      </c>
    </row>
    <row r="30">
      <c r="A30">
        <v>540</v>
      </c>
      <c r="B30">
        <v>0.10000000000000001</v>
      </c>
      <c r="C30" s="3">
        <v>0.58816999999999997</v>
      </c>
      <c r="D30" s="3">
        <v>0.12125435179097699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K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2.630000000000001"/>
    <col customWidth="1" min="6" max="6" width="14.130000000000001"/>
    <col customWidth="1" min="10" max="10" width="14.130000000000001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5" t="s">
        <v>4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6" t="s">
        <v>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7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8" t="s">
        <v>6</v>
      </c>
      <c r="AQ7" s="8"/>
      <c r="AR7" s="8"/>
      <c r="AS7" s="8"/>
      <c r="AT7" s="8"/>
      <c r="AU7" s="8"/>
      <c r="AV7" s="8"/>
      <c r="AW7" s="8"/>
      <c r="AX7" s="8"/>
      <c r="AY7" s="8"/>
      <c r="AZ7" s="8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>
      <c r="A9" s="4"/>
      <c r="B9" s="4" t="s">
        <v>7</v>
      </c>
      <c r="C9" s="4" t="s">
        <v>8</v>
      </c>
      <c r="D9" s="4"/>
      <c r="E9" s="4"/>
      <c r="F9" s="4"/>
      <c r="G9" s="4"/>
      <c r="H9" s="4"/>
      <c r="I9" s="4"/>
      <c r="J9" s="4"/>
      <c r="K9" s="4"/>
      <c r="L9" s="9" t="s">
        <v>9</v>
      </c>
      <c r="M9" s="10"/>
      <c r="N9" s="10"/>
      <c r="O9" s="11"/>
      <c r="P9" s="12" t="s">
        <v>10</v>
      </c>
      <c r="Q9" s="13"/>
      <c r="R9" s="11"/>
      <c r="S9" s="11"/>
      <c r="T9" s="14"/>
      <c r="U9" s="15" t="s">
        <v>11</v>
      </c>
      <c r="V9" s="16"/>
      <c r="W9" s="17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4"/>
      <c r="B10" s="4"/>
      <c r="C10" s="4" t="s">
        <v>12</v>
      </c>
      <c r="D10" s="4"/>
      <c r="E10" s="4"/>
      <c r="F10" s="4"/>
      <c r="G10" s="4"/>
      <c r="H10" s="4"/>
      <c r="I10" s="4"/>
      <c r="J10" s="4"/>
      <c r="K10" s="18" t="s">
        <v>0</v>
      </c>
      <c r="L10" s="7" t="s">
        <v>13</v>
      </c>
      <c r="M10" s="19" t="s">
        <v>14</v>
      </c>
      <c r="N10" s="7" t="s">
        <v>15</v>
      </c>
      <c r="O10" s="7" t="s">
        <v>16</v>
      </c>
      <c r="P10" s="20" t="s">
        <v>13</v>
      </c>
      <c r="Q10" s="20" t="s">
        <v>14</v>
      </c>
      <c r="R10" s="20" t="s">
        <v>15</v>
      </c>
      <c r="S10" s="21" t="s">
        <v>2</v>
      </c>
      <c r="T10" t="s">
        <v>3</v>
      </c>
      <c r="U10" s="22" t="s">
        <v>17</v>
      </c>
      <c r="V10" s="23" t="s">
        <v>15</v>
      </c>
      <c r="W10" s="22" t="s">
        <v>18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4"/>
      <c r="B11" s="4"/>
      <c r="C11" s="24"/>
      <c r="D11" s="25"/>
      <c r="E11" s="24"/>
      <c r="F11" s="25"/>
      <c r="G11" s="26"/>
      <c r="H11" s="4"/>
      <c r="I11" s="4"/>
      <c r="J11" s="27"/>
      <c r="K11" s="28">
        <v>740</v>
      </c>
      <c r="L11" s="29">
        <v>18.077999999999999</v>
      </c>
      <c r="M11" s="30">
        <v>14</v>
      </c>
      <c r="N11" s="31">
        <v>2.3599999999999999</v>
      </c>
      <c r="O11" s="32">
        <f t="shared" ref="O11:O39" si="0">N11/5</f>
        <v>0.47199999999999998</v>
      </c>
      <c r="P11" s="27">
        <v>0.5706</v>
      </c>
      <c r="Q11" s="33">
        <v>160</v>
      </c>
      <c r="R11" s="34">
        <v>2</v>
      </c>
      <c r="S11" s="3">
        <f t="shared" ref="S11:S39" si="1">P11/1</f>
        <v>0.5706</v>
      </c>
      <c r="T11" s="3">
        <f t="shared" ref="T11:T39" si="2">SQRT((R11/5)^2+0.05^2)*S11</f>
        <v>0.23001621355895763</v>
      </c>
      <c r="U11" s="35">
        <v>50.482999999999997</v>
      </c>
      <c r="V11" s="36">
        <v>6.4500000000000002</v>
      </c>
      <c r="W11" s="37">
        <f t="shared" ref="W11:W39" si="3">V11/5</f>
        <v>1.29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38" t="s">
        <v>19</v>
      </c>
      <c r="AQ11" s="38"/>
      <c r="AR11" s="38"/>
      <c r="AT11" s="39" t="s">
        <v>20</v>
      </c>
      <c r="AU11" s="39"/>
      <c r="AV11" s="39"/>
      <c r="AX11" s="39" t="s">
        <v>21</v>
      </c>
      <c r="AY11" s="39"/>
      <c r="AZ11" s="39"/>
    </row>
    <row r="12">
      <c r="A12" s="4"/>
      <c r="B12" s="4"/>
      <c r="C12" s="24"/>
      <c r="D12" s="25"/>
      <c r="E12" s="24"/>
      <c r="F12" s="25"/>
      <c r="G12" s="26"/>
      <c r="H12" s="4"/>
      <c r="I12" s="4"/>
      <c r="J12" s="27"/>
      <c r="K12" s="28">
        <v>730</v>
      </c>
      <c r="L12" s="29">
        <v>19.026</v>
      </c>
      <c r="M12" s="30">
        <v>16</v>
      </c>
      <c r="N12" s="31">
        <v>2.3599999999999999</v>
      </c>
      <c r="O12" s="32">
        <f t="shared" si="0"/>
        <v>0.47199999999999998</v>
      </c>
      <c r="P12" s="27">
        <v>0.61126999999999998</v>
      </c>
      <c r="Q12" s="33">
        <v>140</v>
      </c>
      <c r="R12" s="34">
        <v>2</v>
      </c>
      <c r="S12" s="40">
        <f t="shared" si="1"/>
        <v>0.61126999999999998</v>
      </c>
      <c r="T12" s="3">
        <f t="shared" si="2"/>
        <v>0.24641081469012274</v>
      </c>
      <c r="U12" s="35">
        <v>52.603999999999999</v>
      </c>
      <c r="V12" s="36">
        <v>6.4500000000000002</v>
      </c>
      <c r="W12" s="37">
        <f t="shared" si="3"/>
        <v>1.29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1" t="s">
        <v>0</v>
      </c>
      <c r="AQ12" s="42" t="s">
        <v>13</v>
      </c>
      <c r="AR12" s="42" t="s">
        <v>16</v>
      </c>
      <c r="AT12" s="43" t="s">
        <v>0</v>
      </c>
      <c r="AU12" s="42" t="s">
        <v>2</v>
      </c>
      <c r="AV12" s="44" t="s">
        <v>3</v>
      </c>
      <c r="AX12" s="43" t="s">
        <v>0</v>
      </c>
      <c r="AY12" s="42" t="s">
        <v>17</v>
      </c>
      <c r="AZ12" s="42" t="s">
        <v>18</v>
      </c>
    </row>
    <row r="13">
      <c r="A13" s="4"/>
      <c r="B13" s="45" t="s">
        <v>22</v>
      </c>
      <c r="C13" s="46"/>
      <c r="D13" s="47"/>
      <c r="E13" s="24"/>
      <c r="F13" s="25"/>
      <c r="G13" s="26"/>
      <c r="H13" s="4"/>
      <c r="I13" s="4"/>
      <c r="J13" s="27"/>
      <c r="K13" s="28">
        <v>720</v>
      </c>
      <c r="L13" s="29">
        <v>19.815000000000001</v>
      </c>
      <c r="M13" s="30">
        <v>20</v>
      </c>
      <c r="N13" s="31">
        <v>2.3599999999999999</v>
      </c>
      <c r="O13" s="32">
        <f t="shared" si="0"/>
        <v>0.47199999999999998</v>
      </c>
      <c r="P13" s="27">
        <v>0.48731999999999998</v>
      </c>
      <c r="Q13" s="33">
        <v>20</v>
      </c>
      <c r="R13" s="34">
        <v>2</v>
      </c>
      <c r="S13" s="48">
        <f t="shared" si="1"/>
        <v>0.48731999999999998</v>
      </c>
      <c r="T13" s="49">
        <f t="shared" si="2"/>
        <v>0.19644497229504246</v>
      </c>
      <c r="U13" s="35">
        <v>53.302</v>
      </c>
      <c r="V13" s="36">
        <v>6.5</v>
      </c>
      <c r="W13" s="34">
        <f t="shared" si="3"/>
        <v>1.3</v>
      </c>
      <c r="X13" s="4"/>
      <c r="Y13" s="4"/>
      <c r="Z13" s="4"/>
      <c r="AA13" s="4"/>
      <c r="AB13" s="50" t="s">
        <v>23</v>
      </c>
      <c r="AC13" s="51"/>
      <c r="AD13" s="51"/>
      <c r="AE13" s="4"/>
      <c r="AF13" s="45" t="s">
        <v>24</v>
      </c>
      <c r="AG13" s="51"/>
      <c r="AH13" s="51"/>
      <c r="AI13" s="4"/>
      <c r="AJ13" s="4"/>
      <c r="AK13" s="45" t="s">
        <v>25</v>
      </c>
      <c r="AL13" s="4"/>
      <c r="AM13" s="4"/>
      <c r="AN13" s="4"/>
      <c r="AO13" s="4"/>
      <c r="AP13" s="52">
        <v>740</v>
      </c>
      <c r="AQ13" s="53">
        <v>18.077999999999999</v>
      </c>
      <c r="AR13" s="53">
        <v>0.47199999999999998</v>
      </c>
      <c r="AT13" s="54">
        <v>740</v>
      </c>
      <c r="AU13" s="55">
        <v>0.5706</v>
      </c>
      <c r="AV13" s="55">
        <v>0.23001621355895763</v>
      </c>
      <c r="AX13" s="54">
        <v>740</v>
      </c>
      <c r="AY13" s="53">
        <v>50.482999999999997</v>
      </c>
      <c r="AZ13" s="53">
        <v>1.29</v>
      </c>
    </row>
    <row r="14">
      <c r="A14" s="4"/>
      <c r="B14" s="56"/>
      <c r="C14" s="57" t="s">
        <v>26</v>
      </c>
      <c r="D14" s="58" t="s">
        <v>27</v>
      </c>
      <c r="E14" s="24"/>
      <c r="F14" s="25"/>
      <c r="G14" s="26"/>
      <c r="H14" s="4"/>
      <c r="I14" s="4"/>
      <c r="J14" s="27"/>
      <c r="K14" s="28">
        <v>710</v>
      </c>
      <c r="L14" s="29">
        <v>20.367999999999999</v>
      </c>
      <c r="M14" s="30">
        <v>30</v>
      </c>
      <c r="N14" s="31">
        <v>2.3599999999999999</v>
      </c>
      <c r="O14" s="32">
        <f t="shared" si="0"/>
        <v>0.47199999999999998</v>
      </c>
      <c r="P14" s="27">
        <v>0.62810999999999995</v>
      </c>
      <c r="Q14" s="33">
        <v>40</v>
      </c>
      <c r="R14" s="34">
        <v>2</v>
      </c>
      <c r="S14" s="48">
        <f t="shared" si="1"/>
        <v>0.62810999999999995</v>
      </c>
      <c r="T14" s="49">
        <f t="shared" si="2"/>
        <v>0.25319923571419012</v>
      </c>
      <c r="U14" s="35">
        <v>54.499000000000002</v>
      </c>
      <c r="V14" s="36">
        <v>6.5</v>
      </c>
      <c r="W14" s="34">
        <f t="shared" si="3"/>
        <v>1.3</v>
      </c>
      <c r="X14" s="4"/>
      <c r="Y14" s="4"/>
      <c r="Z14" s="4"/>
      <c r="AA14" s="4"/>
      <c r="AB14" s="59"/>
      <c r="AC14" s="60" t="s">
        <v>26</v>
      </c>
      <c r="AD14" s="61" t="s">
        <v>27</v>
      </c>
      <c r="AE14" s="4"/>
      <c r="AF14" s="59"/>
      <c r="AG14" s="60" t="s">
        <v>26</v>
      </c>
      <c r="AH14" s="61" t="s">
        <v>27</v>
      </c>
      <c r="AI14" s="4"/>
      <c r="AJ14" s="4"/>
      <c r="AK14" s="59"/>
      <c r="AL14" s="62" t="s">
        <v>28</v>
      </c>
      <c r="AM14" s="63" t="s">
        <v>29</v>
      </c>
      <c r="AN14" s="4"/>
      <c r="AO14" s="4"/>
      <c r="AP14" s="52">
        <v>730</v>
      </c>
      <c r="AQ14" s="53">
        <v>19.026</v>
      </c>
      <c r="AR14" s="53">
        <v>0.47199999999999998</v>
      </c>
      <c r="AT14" s="54">
        <v>730</v>
      </c>
      <c r="AU14" s="64">
        <v>0.61126999999999998</v>
      </c>
      <c r="AV14" s="55">
        <v>0.24641081469012274</v>
      </c>
      <c r="AX14" s="54">
        <v>730</v>
      </c>
      <c r="AY14" s="53">
        <v>52.603999999999999</v>
      </c>
      <c r="AZ14" s="53">
        <v>1.29</v>
      </c>
    </row>
    <row r="15">
      <c r="A15" s="4"/>
      <c r="B15" s="65" t="s">
        <v>30</v>
      </c>
      <c r="C15" s="66"/>
      <c r="D15" s="66"/>
      <c r="E15" s="24"/>
      <c r="F15" s="25"/>
      <c r="G15" s="26"/>
      <c r="H15" s="4"/>
      <c r="I15" s="4"/>
      <c r="J15" s="27"/>
      <c r="K15" s="28">
        <v>690</v>
      </c>
      <c r="L15" s="29">
        <v>19.486000000000001</v>
      </c>
      <c r="M15" s="30">
        <v>20</v>
      </c>
      <c r="N15" s="31">
        <v>2.3599999999999999</v>
      </c>
      <c r="O15" s="32">
        <f t="shared" si="0"/>
        <v>0.47199999999999998</v>
      </c>
      <c r="P15" s="27">
        <v>0.94791999999999998</v>
      </c>
      <c r="Q15" s="33">
        <v>60</v>
      </c>
      <c r="R15" s="34">
        <v>1</v>
      </c>
      <c r="S15" s="48">
        <f t="shared" si="1"/>
        <v>0.94791999999999998</v>
      </c>
      <c r="T15" s="49">
        <f t="shared" si="2"/>
        <v>0.19541871423177468</v>
      </c>
      <c r="U15" s="35">
        <v>54.609000000000002</v>
      </c>
      <c r="V15" s="36">
        <v>7.5</v>
      </c>
      <c r="W15" s="34">
        <f t="shared" si="3"/>
        <v>1.5</v>
      </c>
      <c r="X15" s="4"/>
      <c r="Y15" s="4"/>
      <c r="Z15" s="4"/>
      <c r="AA15" s="4"/>
      <c r="AB15" s="67" t="s">
        <v>31</v>
      </c>
      <c r="AC15" s="68">
        <v>0.026289</v>
      </c>
      <c r="AD15" s="68">
        <v>0.055979000000000001</v>
      </c>
      <c r="AE15" s="4"/>
      <c r="AF15" s="67" t="s">
        <v>31</v>
      </c>
      <c r="AG15" s="69">
        <v>2.5414870000000001</v>
      </c>
      <c r="AH15" s="69">
        <v>0.42268699999999998</v>
      </c>
      <c r="AI15" s="4"/>
      <c r="AJ15" s="4"/>
      <c r="AK15" s="67" t="s">
        <v>32</v>
      </c>
      <c r="AL15" s="70">
        <v>6.6260700000000002e-34</v>
      </c>
      <c r="AM15" s="38"/>
      <c r="AN15" s="4"/>
      <c r="AO15" s="4"/>
      <c r="AP15" s="52">
        <v>720</v>
      </c>
      <c r="AQ15" s="53">
        <v>19.815000000000001</v>
      </c>
      <c r="AR15" s="53">
        <v>0.47199999999999998</v>
      </c>
      <c r="AT15" s="54">
        <v>720</v>
      </c>
      <c r="AU15" s="64">
        <v>0.48731999999999998</v>
      </c>
      <c r="AV15" s="55">
        <v>0.19644497229504246</v>
      </c>
      <c r="AX15" s="54">
        <v>720</v>
      </c>
      <c r="AY15" s="53">
        <v>53.302</v>
      </c>
      <c r="AZ15" s="53">
        <v>1.3</v>
      </c>
    </row>
    <row r="16">
      <c r="A16" s="4"/>
      <c r="B16" s="71" t="s">
        <v>33</v>
      </c>
      <c r="C16" s="72"/>
      <c r="D16" s="72"/>
      <c r="E16" s="24"/>
      <c r="F16" s="25"/>
      <c r="G16" s="73" t="s">
        <v>34</v>
      </c>
      <c r="H16" s="4"/>
      <c r="I16" s="4"/>
      <c r="J16" s="27"/>
      <c r="K16" s="28">
        <v>680</v>
      </c>
      <c r="L16" s="29">
        <v>18.023</v>
      </c>
      <c r="M16" s="30">
        <v>30</v>
      </c>
      <c r="N16" s="31">
        <v>2.3599999999999999</v>
      </c>
      <c r="O16" s="32">
        <f t="shared" si="0"/>
        <v>0.47199999999999998</v>
      </c>
      <c r="P16" s="27">
        <v>0.99187999999999998</v>
      </c>
      <c r="Q16" s="33">
        <v>30</v>
      </c>
      <c r="R16" s="34">
        <v>1</v>
      </c>
      <c r="S16" s="48">
        <f t="shared" si="1"/>
        <v>0.99187999999999998</v>
      </c>
      <c r="T16" s="49">
        <f t="shared" si="2"/>
        <v>0.20448130039688228</v>
      </c>
      <c r="U16" s="35">
        <v>54.688000000000002</v>
      </c>
      <c r="V16" s="36">
        <v>7.5</v>
      </c>
      <c r="W16" s="34">
        <f t="shared" si="3"/>
        <v>1.5</v>
      </c>
      <c r="X16" s="4"/>
      <c r="Y16" s="4"/>
      <c r="Z16" s="74" t="s">
        <v>34</v>
      </c>
      <c r="AA16" s="4"/>
      <c r="AB16" s="63" t="s">
        <v>35</v>
      </c>
      <c r="AC16" s="75">
        <v>0.19448599999999999</v>
      </c>
      <c r="AD16" s="75">
        <v>0.069975999999999997</v>
      </c>
      <c r="AE16" s="4"/>
      <c r="AF16" s="63" t="s">
        <v>35</v>
      </c>
      <c r="AG16" s="69">
        <v>3.2692610000000002</v>
      </c>
      <c r="AH16" s="69">
        <v>0.69531399999999999</v>
      </c>
      <c r="AI16" s="4"/>
      <c r="AJ16" s="4"/>
      <c r="AK16" s="76" t="s">
        <v>36</v>
      </c>
      <c r="AL16" s="70">
        <v>299792458</v>
      </c>
      <c r="AM16" s="38"/>
      <c r="AN16" s="4"/>
      <c r="AO16" s="4"/>
      <c r="AP16" s="52">
        <v>710</v>
      </c>
      <c r="AQ16" s="53">
        <v>20.367999999999999</v>
      </c>
      <c r="AR16" s="53">
        <v>0.47199999999999998</v>
      </c>
      <c r="AT16" s="54">
        <v>710</v>
      </c>
      <c r="AU16" s="64">
        <v>0.62810999999999995</v>
      </c>
      <c r="AV16" s="55">
        <v>0.25319923571419012</v>
      </c>
      <c r="AX16" s="54">
        <v>710</v>
      </c>
      <c r="AY16" s="53">
        <v>54.499000000000002</v>
      </c>
      <c r="AZ16" s="53">
        <v>1.3</v>
      </c>
    </row>
    <row r="17">
      <c r="A17" s="4"/>
      <c r="B17" s="63" t="s">
        <v>37</v>
      </c>
      <c r="C17" s="66"/>
      <c r="D17" s="77"/>
      <c r="E17" s="24"/>
      <c r="F17" s="25"/>
      <c r="H17" s="4"/>
      <c r="I17" s="4"/>
      <c r="J17" s="27"/>
      <c r="K17" s="28">
        <v>670</v>
      </c>
      <c r="L17" s="29">
        <v>16.178999999999998</v>
      </c>
      <c r="M17" s="30">
        <v>130</v>
      </c>
      <c r="N17" s="31">
        <v>2.3599999999999999</v>
      </c>
      <c r="O17" s="32">
        <f t="shared" si="0"/>
        <v>0.47199999999999998</v>
      </c>
      <c r="P17" s="27">
        <v>0.97848999999999997</v>
      </c>
      <c r="Q17" s="33">
        <v>10</v>
      </c>
      <c r="R17" s="34">
        <v>1</v>
      </c>
      <c r="S17" s="48">
        <f t="shared" si="1"/>
        <v>0.97848999999999997</v>
      </c>
      <c r="T17" s="49">
        <f t="shared" si="2"/>
        <v>0.20172088118053128</v>
      </c>
      <c r="U17" s="35">
        <v>56.109999999999999</v>
      </c>
      <c r="V17" s="36">
        <v>7.5</v>
      </c>
      <c r="W17" s="34">
        <f t="shared" si="3"/>
        <v>1.5</v>
      </c>
      <c r="X17" s="4"/>
      <c r="Y17" s="4"/>
      <c r="AA17" s="4"/>
      <c r="AB17" s="63" t="s">
        <v>38</v>
      </c>
      <c r="AC17" s="78">
        <v>630.08000900000002</v>
      </c>
      <c r="AD17" s="78">
        <v>6.885122</v>
      </c>
      <c r="AE17" s="4"/>
      <c r="AF17" s="63" t="s">
        <v>38</v>
      </c>
      <c r="AG17" s="78">
        <v>632.29014900000004</v>
      </c>
      <c r="AH17" s="78">
        <v>4.1988580000000004</v>
      </c>
      <c r="AI17" s="4"/>
      <c r="AJ17" s="4"/>
      <c r="AK17" s="76" t="s">
        <v>39</v>
      </c>
      <c r="AL17" s="70">
        <v>1.6021766339999999e-19</v>
      </c>
      <c r="AM17" s="38"/>
      <c r="AN17" s="4"/>
      <c r="AO17" s="4"/>
      <c r="AP17" s="52">
        <v>690</v>
      </c>
      <c r="AQ17" s="53">
        <v>19.486000000000001</v>
      </c>
      <c r="AR17" s="53">
        <v>0.47199999999999998</v>
      </c>
      <c r="AT17" s="54">
        <v>690</v>
      </c>
      <c r="AU17" s="64">
        <v>0.94791999999999998</v>
      </c>
      <c r="AV17" s="55">
        <v>0.19541871423177468</v>
      </c>
      <c r="AX17" s="54">
        <v>690</v>
      </c>
      <c r="AY17" s="53">
        <v>54.609000000000002</v>
      </c>
      <c r="AZ17" s="53">
        <v>1.5</v>
      </c>
    </row>
    <row r="18">
      <c r="A18" s="4"/>
      <c r="B18" s="63" t="s">
        <v>40</v>
      </c>
      <c r="C18" s="79"/>
      <c r="D18" s="80"/>
      <c r="E18" s="24"/>
      <c r="F18" s="25"/>
      <c r="G18" s="26"/>
      <c r="H18" s="4"/>
      <c r="I18" s="4"/>
      <c r="J18" s="81"/>
      <c r="K18" s="28">
        <v>660</v>
      </c>
      <c r="L18" s="29">
        <v>13.629</v>
      </c>
      <c r="M18" s="30">
        <v>130</v>
      </c>
      <c r="N18" s="31">
        <v>2.3599999999999999</v>
      </c>
      <c r="O18" s="32">
        <f t="shared" si="0"/>
        <v>0.47199999999999998</v>
      </c>
      <c r="P18" s="81">
        <v>1.1180000000000001</v>
      </c>
      <c r="Q18" s="33">
        <v>10</v>
      </c>
      <c r="R18" s="34">
        <v>1</v>
      </c>
      <c r="S18" s="48">
        <f t="shared" si="1"/>
        <v>1.1180000000000001</v>
      </c>
      <c r="T18" s="49">
        <f t="shared" si="2"/>
        <v>0.23048160447202728</v>
      </c>
      <c r="U18" s="35">
        <v>56.698999999999998</v>
      </c>
      <c r="V18" s="36">
        <v>7.5</v>
      </c>
      <c r="W18" s="34">
        <f t="shared" si="3"/>
        <v>1.5</v>
      </c>
      <c r="X18" s="4"/>
      <c r="Y18" s="4"/>
      <c r="Z18" s="4"/>
      <c r="AA18" s="4"/>
      <c r="AB18" s="63" t="s">
        <v>41</v>
      </c>
      <c r="AC18" s="78">
        <v>6.2222770000000001</v>
      </c>
      <c r="AD18" s="78">
        <v>5.9981309999999999</v>
      </c>
      <c r="AE18" s="4"/>
      <c r="AF18" s="63" t="s">
        <v>41</v>
      </c>
      <c r="AG18" s="78">
        <v>5.0086000000000004</v>
      </c>
      <c r="AH18" s="78">
        <v>4.2272559999999997</v>
      </c>
      <c r="AI18" s="4"/>
      <c r="AJ18" s="4"/>
      <c r="AK18" s="63" t="s">
        <v>42</v>
      </c>
      <c r="AL18" s="82">
        <f>(AC17+AG17)/2</f>
        <v>631.18507900000009</v>
      </c>
      <c r="AM18" s="83">
        <f>0.5*SQRT(AC18^2+AG18^2)</f>
        <v>3.9938329028869313</v>
      </c>
      <c r="AN18" s="84" t="s">
        <v>43</v>
      </c>
      <c r="AO18" s="4"/>
      <c r="AP18" s="52">
        <v>680</v>
      </c>
      <c r="AQ18" s="53">
        <v>18.023</v>
      </c>
      <c r="AR18" s="53">
        <v>0.47199999999999998</v>
      </c>
      <c r="AT18" s="54">
        <v>680</v>
      </c>
      <c r="AU18" s="64">
        <v>0.99187999999999998</v>
      </c>
      <c r="AV18" s="55">
        <v>0.20448130039688228</v>
      </c>
      <c r="AX18" s="54">
        <v>680</v>
      </c>
      <c r="AY18" s="53">
        <v>54.688000000000002</v>
      </c>
      <c r="AZ18" s="53">
        <v>1.5</v>
      </c>
    </row>
    <row r="19">
      <c r="A19" s="4"/>
      <c r="B19" s="4"/>
      <c r="C19" s="24"/>
      <c r="D19" s="25"/>
      <c r="E19" s="24"/>
      <c r="F19" s="25"/>
      <c r="G19" s="26"/>
      <c r="H19" s="4"/>
      <c r="I19" s="4"/>
      <c r="J19" s="81"/>
      <c r="K19" s="28">
        <v>650</v>
      </c>
      <c r="L19" s="29">
        <v>10.816000000000001</v>
      </c>
      <c r="M19" s="30">
        <v>90</v>
      </c>
      <c r="N19" s="31">
        <v>2.3599999999999999</v>
      </c>
      <c r="O19" s="32">
        <f t="shared" si="0"/>
        <v>0.47199999999999998</v>
      </c>
      <c r="P19" s="81">
        <v>1.944</v>
      </c>
      <c r="Q19" s="33">
        <v>40</v>
      </c>
      <c r="R19" s="34">
        <v>1</v>
      </c>
      <c r="S19" s="48">
        <f t="shared" si="1"/>
        <v>1.944</v>
      </c>
      <c r="T19" s="49">
        <f t="shared" si="2"/>
        <v>0.40076586681003668</v>
      </c>
      <c r="U19" s="35">
        <v>57.648000000000003</v>
      </c>
      <c r="V19" s="36">
        <v>7.5</v>
      </c>
      <c r="W19" s="34">
        <f t="shared" si="3"/>
        <v>1.5</v>
      </c>
      <c r="X19" s="4"/>
      <c r="Y19" s="4"/>
      <c r="Z19" s="4"/>
      <c r="AA19" s="4"/>
      <c r="AB19" s="63" t="s">
        <v>37</v>
      </c>
      <c r="AC19" s="69">
        <v>0.65001399999999998</v>
      </c>
      <c r="AD19" s="85"/>
      <c r="AE19" s="4"/>
      <c r="AF19" s="63" t="s">
        <v>37</v>
      </c>
      <c r="AG19" s="69">
        <v>0.56105099999999997</v>
      </c>
      <c r="AH19" s="86"/>
      <c r="AI19" s="4"/>
      <c r="AJ19" s="4"/>
      <c r="AK19" s="63" t="s">
        <v>42</v>
      </c>
      <c r="AL19" s="87">
        <f t="shared" ref="AL19:AM19" si="4">AL18*(10^-9)</f>
        <v>6.3118507900000018e-07</v>
      </c>
      <c r="AM19" s="88">
        <f t="shared" si="4"/>
        <v>3.9938329028869312e-09</v>
      </c>
      <c r="AN19" s="89" t="s">
        <v>33</v>
      </c>
      <c r="AO19" s="4"/>
      <c r="AP19" s="52">
        <v>670</v>
      </c>
      <c r="AQ19" s="53">
        <v>16.178999999999998</v>
      </c>
      <c r="AR19" s="53">
        <v>0.47199999999999998</v>
      </c>
      <c r="AT19" s="54">
        <v>670</v>
      </c>
      <c r="AU19" s="64">
        <v>0.97848999999999997</v>
      </c>
      <c r="AV19" s="55">
        <v>0.20172088118053128</v>
      </c>
      <c r="AX19" s="54">
        <v>670</v>
      </c>
      <c r="AY19" s="53">
        <v>56.109999999999999</v>
      </c>
      <c r="AZ19" s="53">
        <v>1.5</v>
      </c>
    </row>
    <row r="20">
      <c r="A20" s="4"/>
      <c r="B20" s="90" t="s">
        <v>44</v>
      </c>
      <c r="C20" s="91" t="s">
        <v>45</v>
      </c>
      <c r="D20" s="92"/>
      <c r="E20" s="24"/>
      <c r="F20" s="25"/>
      <c r="G20" s="26"/>
      <c r="H20" s="4"/>
      <c r="I20" s="4"/>
      <c r="J20" s="93"/>
      <c r="K20" s="28">
        <v>648</v>
      </c>
      <c r="L20" s="29">
        <v>10.128</v>
      </c>
      <c r="M20" s="30">
        <v>70</v>
      </c>
      <c r="N20" s="31">
        <v>2.3599999999999999</v>
      </c>
      <c r="O20" s="32">
        <f t="shared" si="0"/>
        <v>0.47199999999999998</v>
      </c>
      <c r="P20" s="93">
        <v>2.4135</v>
      </c>
      <c r="Q20" s="33">
        <v>80</v>
      </c>
      <c r="R20" s="34">
        <v>1</v>
      </c>
      <c r="S20" s="48">
        <f t="shared" si="1"/>
        <v>2.4135</v>
      </c>
      <c r="T20" s="49">
        <f t="shared" si="2"/>
        <v>0.49755577137141127</v>
      </c>
      <c r="U20" s="35">
        <v>60.094999999999999</v>
      </c>
      <c r="V20" s="36">
        <v>8</v>
      </c>
      <c r="W20" s="34">
        <f t="shared" si="3"/>
        <v>1.6000000000000001</v>
      </c>
      <c r="X20" s="4"/>
      <c r="Y20" s="4"/>
      <c r="Z20" s="4"/>
      <c r="AA20" s="51"/>
      <c r="AB20" s="63" t="s">
        <v>40</v>
      </c>
      <c r="AC20" s="94">
        <v>14</v>
      </c>
      <c r="AD20" s="85"/>
      <c r="AE20" s="4"/>
      <c r="AF20" s="63" t="s">
        <v>40</v>
      </c>
      <c r="AG20" s="95">
        <v>14</v>
      </c>
      <c r="AH20" s="86"/>
      <c r="AI20" s="4"/>
      <c r="AJ20" s="4"/>
      <c r="AK20" s="76" t="s">
        <v>46</v>
      </c>
      <c r="AL20" s="88">
        <f>(AL15*AL16)/AL19</f>
        <v>3.1471685219923576e-19</v>
      </c>
      <c r="AM20" s="96">
        <f>SQRT((AL15*AL16/(AL19)^2)^2*(AM19)^2)</f>
        <v>1.9913755271238135e-21</v>
      </c>
      <c r="AN20" s="89" t="s">
        <v>47</v>
      </c>
      <c r="AO20" s="4"/>
      <c r="AP20" s="52">
        <v>660</v>
      </c>
      <c r="AQ20" s="53">
        <v>13.629</v>
      </c>
      <c r="AR20" s="53">
        <v>0.47199999999999998</v>
      </c>
      <c r="AT20" s="54">
        <v>660</v>
      </c>
      <c r="AU20" s="64">
        <v>1.1180000000000001</v>
      </c>
      <c r="AV20" s="55">
        <v>0.23048160447202728</v>
      </c>
      <c r="AX20" s="54">
        <v>660</v>
      </c>
      <c r="AY20" s="53">
        <v>56.698999999999998</v>
      </c>
      <c r="AZ20" s="53">
        <v>1.5</v>
      </c>
    </row>
    <row r="21">
      <c r="A21" s="4"/>
      <c r="B21" s="4"/>
      <c r="C21" s="24"/>
      <c r="D21" s="25"/>
      <c r="E21" s="24"/>
      <c r="F21" s="25"/>
      <c r="G21" s="26"/>
      <c r="H21" s="4"/>
      <c r="I21" s="4"/>
      <c r="J21" s="93"/>
      <c r="K21" s="28">
        <v>646</v>
      </c>
      <c r="L21" s="29">
        <v>9.3424999999999994</v>
      </c>
      <c r="M21" s="30">
        <v>70</v>
      </c>
      <c r="N21" s="31">
        <v>2.3599999999999999</v>
      </c>
      <c r="O21" s="32">
        <f t="shared" si="0"/>
        <v>0.47199999999999998</v>
      </c>
      <c r="P21" s="93">
        <v>3.0600000000000001</v>
      </c>
      <c r="Q21" s="33">
        <v>50</v>
      </c>
      <c r="R21" s="34">
        <v>1</v>
      </c>
      <c r="S21" s="48">
        <f t="shared" si="1"/>
        <v>3.0600000000000001</v>
      </c>
      <c r="T21" s="49">
        <f t="shared" si="2"/>
        <v>0.63083516071950219</v>
      </c>
      <c r="U21" s="35">
        <v>58.436</v>
      </c>
      <c r="V21" s="36">
        <v>8</v>
      </c>
      <c r="W21" s="34">
        <f t="shared" si="3"/>
        <v>1.6000000000000001</v>
      </c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76" t="s">
        <v>46</v>
      </c>
      <c r="AL21" s="97">
        <f>AL20/AL17</f>
        <v>1.9643080888872568</v>
      </c>
      <c r="AM21" s="97">
        <f>SQRT((1/AL17)^2*(AM20)^2)</f>
        <v>0.012429188423202368</v>
      </c>
      <c r="AN21" s="89" t="s">
        <v>48</v>
      </c>
      <c r="AO21" s="4"/>
      <c r="AP21" s="52">
        <v>650</v>
      </c>
      <c r="AQ21" s="53">
        <v>10.816000000000001</v>
      </c>
      <c r="AR21" s="53">
        <v>0.47199999999999998</v>
      </c>
      <c r="AT21" s="54">
        <v>650</v>
      </c>
      <c r="AU21" s="64">
        <v>1.944</v>
      </c>
      <c r="AV21" s="55">
        <v>0.40076586681003668</v>
      </c>
      <c r="AX21" s="54">
        <v>650</v>
      </c>
      <c r="AY21" s="53">
        <v>57.648000000000003</v>
      </c>
      <c r="AZ21" s="53">
        <v>1.5</v>
      </c>
    </row>
    <row r="22">
      <c r="A22" s="4"/>
      <c r="B22" s="4"/>
      <c r="C22" s="24"/>
      <c r="D22" s="25"/>
      <c r="E22" s="24"/>
      <c r="F22" s="25"/>
      <c r="G22" s="26"/>
      <c r="H22" s="4"/>
      <c r="I22" s="4"/>
      <c r="J22" s="93"/>
      <c r="K22" s="28">
        <v>644</v>
      </c>
      <c r="L22" s="29">
        <v>8.0961999999999996</v>
      </c>
      <c r="M22" s="30">
        <v>11</v>
      </c>
      <c r="N22" s="31">
        <v>2.3599999999999999</v>
      </c>
      <c r="O22" s="32">
        <f t="shared" si="0"/>
        <v>0.47199999999999998</v>
      </c>
      <c r="P22" s="93">
        <v>4.2404000000000002</v>
      </c>
      <c r="Q22" s="33">
        <v>70</v>
      </c>
      <c r="R22" s="34">
        <v>1</v>
      </c>
      <c r="S22" s="48">
        <f t="shared" si="1"/>
        <v>4.2404000000000002</v>
      </c>
      <c r="T22" s="49">
        <f t="shared" si="2"/>
        <v>0.87418085474345653</v>
      </c>
      <c r="U22" s="35">
        <v>55.841000000000001</v>
      </c>
      <c r="V22" s="36">
        <v>8</v>
      </c>
      <c r="W22" s="34">
        <f t="shared" si="3"/>
        <v>1.6000000000000001</v>
      </c>
      <c r="X22" s="4"/>
      <c r="Y22" s="4"/>
      <c r="Z22" s="4"/>
      <c r="AA22" s="51"/>
      <c r="AB22" s="98"/>
      <c r="AC22" s="98"/>
      <c r="AD22" s="4"/>
      <c r="AE22" s="4"/>
      <c r="AF22" s="4"/>
      <c r="AG22" s="4"/>
      <c r="AH22" s="4"/>
      <c r="AI22" s="4"/>
      <c r="AJ22" s="4"/>
      <c r="AO22" s="4"/>
      <c r="AP22" s="52">
        <v>648</v>
      </c>
      <c r="AQ22" s="53">
        <v>10.128</v>
      </c>
      <c r="AR22" s="53">
        <v>0.47199999999999998</v>
      </c>
      <c r="AT22" s="54">
        <v>648</v>
      </c>
      <c r="AU22" s="64">
        <v>2.4135</v>
      </c>
      <c r="AV22" s="55">
        <v>0.49755577137141127</v>
      </c>
      <c r="AX22" s="54">
        <v>648</v>
      </c>
      <c r="AY22" s="53">
        <v>60.094999999999999</v>
      </c>
      <c r="AZ22" s="53">
        <v>1.6000000000000001</v>
      </c>
    </row>
    <row r="23">
      <c r="A23" s="4"/>
      <c r="B23" s="4"/>
      <c r="C23" s="24"/>
      <c r="D23" s="25"/>
      <c r="E23" s="24"/>
      <c r="F23" s="25"/>
      <c r="G23" s="26"/>
      <c r="H23" s="4"/>
      <c r="I23" s="4"/>
      <c r="J23" s="93"/>
      <c r="K23" s="28">
        <v>642</v>
      </c>
      <c r="L23" s="29">
        <v>6.6044</v>
      </c>
      <c r="M23" s="30">
        <v>20</v>
      </c>
      <c r="N23" s="31">
        <v>1</v>
      </c>
      <c r="O23" s="32">
        <f t="shared" si="0"/>
        <v>0.20000000000000001</v>
      </c>
      <c r="P23" s="93">
        <v>5.5340999999999996</v>
      </c>
      <c r="Q23" s="33">
        <v>20</v>
      </c>
      <c r="R23" s="34">
        <v>2</v>
      </c>
      <c r="S23" s="48">
        <f t="shared" si="1"/>
        <v>5.5340999999999996</v>
      </c>
      <c r="T23" s="49">
        <f t="shared" si="2"/>
        <v>2.2308670302429503</v>
      </c>
      <c r="U23" s="35">
        <v>58.536999999999999</v>
      </c>
      <c r="V23" s="36">
        <v>8</v>
      </c>
      <c r="W23" s="34">
        <f t="shared" si="3"/>
        <v>1.6000000000000001</v>
      </c>
      <c r="X23" s="4"/>
      <c r="Y23" s="4"/>
      <c r="Z23" s="4"/>
      <c r="AA23" s="4"/>
      <c r="AB23" s="98"/>
      <c r="AC23" s="98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52">
        <v>646</v>
      </c>
      <c r="AQ23" s="53">
        <v>9.3424999999999994</v>
      </c>
      <c r="AR23" s="53">
        <v>0.47199999999999998</v>
      </c>
      <c r="AT23" s="54">
        <v>646</v>
      </c>
      <c r="AU23" s="64">
        <v>3.0600000000000001</v>
      </c>
      <c r="AV23" s="55">
        <v>0.63083516071950219</v>
      </c>
      <c r="AX23" s="54">
        <v>646</v>
      </c>
      <c r="AY23" s="53">
        <v>58.436</v>
      </c>
      <c r="AZ23" s="53">
        <v>1.6000000000000001</v>
      </c>
    </row>
    <row r="24">
      <c r="A24" s="4"/>
      <c r="B24" s="4"/>
      <c r="C24" s="24"/>
      <c r="D24" s="25"/>
      <c r="E24" s="24"/>
      <c r="F24" s="25"/>
      <c r="G24" s="26"/>
      <c r="H24" s="4"/>
      <c r="I24" s="4"/>
      <c r="J24" s="93"/>
      <c r="K24" s="28">
        <v>640</v>
      </c>
      <c r="L24" s="29">
        <v>4.9528999999999996</v>
      </c>
      <c r="M24" s="30">
        <v>50</v>
      </c>
      <c r="N24" s="31">
        <v>1</v>
      </c>
      <c r="O24" s="32">
        <f t="shared" si="0"/>
        <v>0.20000000000000001</v>
      </c>
      <c r="P24" s="93">
        <v>6.9374000000000002</v>
      </c>
      <c r="Q24" s="33">
        <v>40</v>
      </c>
      <c r="R24" s="34">
        <v>2</v>
      </c>
      <c r="S24" s="48">
        <f t="shared" si="1"/>
        <v>6.9374000000000002</v>
      </c>
      <c r="T24" s="49">
        <f t="shared" si="2"/>
        <v>2.7965553451523184</v>
      </c>
      <c r="U24" s="35">
        <v>55.561999999999998</v>
      </c>
      <c r="V24" s="36">
        <v>8</v>
      </c>
      <c r="W24" s="34">
        <f t="shared" si="3"/>
        <v>1.6000000000000001</v>
      </c>
      <c r="X24" s="4"/>
      <c r="Y24" s="4"/>
      <c r="Z24" s="4"/>
      <c r="AA24" s="4"/>
      <c r="AB24" s="98"/>
      <c r="AC24" s="98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52">
        <v>644</v>
      </c>
      <c r="AQ24" s="53">
        <v>8.0961999999999996</v>
      </c>
      <c r="AR24" s="53">
        <v>0.47199999999999998</v>
      </c>
      <c r="AT24" s="54">
        <v>644</v>
      </c>
      <c r="AU24" s="64">
        <v>4.2404000000000002</v>
      </c>
      <c r="AV24" s="55">
        <v>0.87418085474345653</v>
      </c>
      <c r="AX24" s="54">
        <v>644</v>
      </c>
      <c r="AY24" s="53">
        <v>55.841000000000001</v>
      </c>
      <c r="AZ24" s="53">
        <v>1.6000000000000001</v>
      </c>
    </row>
    <row r="25">
      <c r="A25" s="4"/>
      <c r="B25" s="4"/>
      <c r="C25" s="24"/>
      <c r="D25" s="25"/>
      <c r="E25" s="24"/>
      <c r="F25" s="25"/>
      <c r="G25" s="26"/>
      <c r="H25" s="4"/>
      <c r="I25" s="4"/>
      <c r="J25" s="93"/>
      <c r="K25" s="28">
        <v>638</v>
      </c>
      <c r="L25" s="29">
        <v>3.1964999999999999</v>
      </c>
      <c r="M25" s="30">
        <v>100</v>
      </c>
      <c r="N25" s="31">
        <v>1</v>
      </c>
      <c r="O25" s="32">
        <f t="shared" si="0"/>
        <v>0.20000000000000001</v>
      </c>
      <c r="P25" s="93">
        <v>8.1448</v>
      </c>
      <c r="Q25" s="33">
        <v>30</v>
      </c>
      <c r="R25" s="34">
        <v>2</v>
      </c>
      <c r="S25" s="48">
        <f t="shared" si="1"/>
        <v>8.1448</v>
      </c>
      <c r="T25" s="49">
        <f t="shared" si="2"/>
        <v>3.2832738454171015</v>
      </c>
      <c r="U25" s="35">
        <v>56.613</v>
      </c>
      <c r="V25" s="36">
        <v>8</v>
      </c>
      <c r="W25" s="34">
        <f t="shared" si="3"/>
        <v>1.6000000000000001</v>
      </c>
      <c r="X25" s="4"/>
      <c r="Y25" s="4"/>
      <c r="Z25" s="4"/>
      <c r="AA25" s="4"/>
      <c r="AB25" s="98"/>
      <c r="AC25" s="98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52">
        <v>642</v>
      </c>
      <c r="AQ25" s="53">
        <v>6.6044</v>
      </c>
      <c r="AR25" s="53">
        <v>0.20000000000000001</v>
      </c>
      <c r="AT25" s="54">
        <v>642</v>
      </c>
      <c r="AU25" s="99">
        <v>5.5340999999999996</v>
      </c>
      <c r="AV25" s="100">
        <v>2.2308670302429503</v>
      </c>
      <c r="AX25" s="54">
        <v>642</v>
      </c>
      <c r="AY25" s="53">
        <v>58.536999999999999</v>
      </c>
      <c r="AZ25" s="53">
        <v>1.6000000000000001</v>
      </c>
    </row>
    <row r="26">
      <c r="A26" s="4"/>
      <c r="B26" s="4"/>
      <c r="C26" s="24"/>
      <c r="D26" s="25"/>
      <c r="E26" s="24"/>
      <c r="F26" s="25"/>
      <c r="G26" s="25"/>
      <c r="H26" s="4"/>
      <c r="I26" s="4"/>
      <c r="J26" s="93"/>
      <c r="K26" s="101">
        <v>636</v>
      </c>
      <c r="L26" s="29">
        <v>1.8010999999999999</v>
      </c>
      <c r="M26" s="30">
        <v>90</v>
      </c>
      <c r="N26" s="31">
        <v>1</v>
      </c>
      <c r="O26" s="32">
        <f t="shared" si="0"/>
        <v>0.20000000000000001</v>
      </c>
      <c r="P26" s="93">
        <v>8.4763999999999999</v>
      </c>
      <c r="Q26" s="33">
        <v>50</v>
      </c>
      <c r="R26" s="34">
        <v>2</v>
      </c>
      <c r="S26" s="48">
        <f t="shared" si="1"/>
        <v>8.4763999999999999</v>
      </c>
      <c r="T26" s="49">
        <f t="shared" si="2"/>
        <v>3.4169460788838917</v>
      </c>
      <c r="U26" s="35">
        <v>56.451000000000001</v>
      </c>
      <c r="V26" s="36">
        <v>8</v>
      </c>
      <c r="W26" s="34">
        <f t="shared" si="3"/>
        <v>1.6000000000000001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52">
        <v>640</v>
      </c>
      <c r="AQ26" s="53">
        <v>4.9528999999999996</v>
      </c>
      <c r="AR26" s="53">
        <v>0.20000000000000001</v>
      </c>
      <c r="AT26" s="54">
        <v>640</v>
      </c>
      <c r="AU26" s="99">
        <v>6.9374000000000002</v>
      </c>
      <c r="AV26" s="100">
        <v>2.7965553451523184</v>
      </c>
      <c r="AX26" s="54">
        <v>640</v>
      </c>
      <c r="AY26" s="53">
        <v>55.561999999999998</v>
      </c>
      <c r="AZ26" s="53">
        <v>1.6000000000000001</v>
      </c>
    </row>
    <row r="27">
      <c r="A27" s="4"/>
      <c r="B27" s="4"/>
      <c r="C27" s="24"/>
      <c r="D27" s="25"/>
      <c r="E27" s="24"/>
      <c r="F27" s="25"/>
      <c r="G27" s="25"/>
      <c r="H27" s="4"/>
      <c r="I27" s="4"/>
      <c r="J27" s="93"/>
      <c r="K27" s="28">
        <v>634</v>
      </c>
      <c r="L27" s="29">
        <v>1.0136000000000001</v>
      </c>
      <c r="M27" s="30">
        <v>50</v>
      </c>
      <c r="N27" s="31">
        <v>1</v>
      </c>
      <c r="O27" s="32">
        <f t="shared" si="0"/>
        <v>0.20000000000000001</v>
      </c>
      <c r="P27" s="93">
        <v>7.4706999999999999</v>
      </c>
      <c r="Q27" s="33">
        <v>120</v>
      </c>
      <c r="R27" s="34">
        <v>2</v>
      </c>
      <c r="S27" s="48">
        <f t="shared" si="1"/>
        <v>7.4706999999999999</v>
      </c>
      <c r="T27" s="49">
        <f t="shared" si="2"/>
        <v>3.0115354480106991</v>
      </c>
      <c r="U27" s="35">
        <v>60.066000000000003</v>
      </c>
      <c r="V27" s="36">
        <v>8</v>
      </c>
      <c r="W27" s="34">
        <f t="shared" si="3"/>
        <v>1.6000000000000001</v>
      </c>
      <c r="X27" s="4"/>
      <c r="Y27" s="4"/>
      <c r="Z27" s="4"/>
      <c r="AA27" s="4"/>
      <c r="AB27" s="51"/>
      <c r="AC27" s="51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52">
        <v>638</v>
      </c>
      <c r="AQ27" s="53">
        <v>3.1964999999999999</v>
      </c>
      <c r="AR27" s="53">
        <v>0.20000000000000001</v>
      </c>
      <c r="AT27" s="54">
        <v>638</v>
      </c>
      <c r="AU27" s="99">
        <v>8.1448</v>
      </c>
      <c r="AV27" s="100">
        <v>3.2832738454171015</v>
      </c>
      <c r="AX27" s="54">
        <v>638</v>
      </c>
      <c r="AY27" s="53">
        <v>56.613</v>
      </c>
      <c r="AZ27" s="53">
        <v>1.6000000000000001</v>
      </c>
    </row>
    <row r="28">
      <c r="A28" s="4"/>
      <c r="B28" s="4"/>
      <c r="C28" s="24"/>
      <c r="D28" s="25"/>
      <c r="E28" s="24"/>
      <c r="F28" s="25"/>
      <c r="G28" s="25"/>
      <c r="H28" s="4"/>
      <c r="I28" s="4"/>
      <c r="J28" s="93"/>
      <c r="K28" s="28">
        <v>632</v>
      </c>
      <c r="L28" s="29">
        <v>0.69137999999999999</v>
      </c>
      <c r="M28" s="30">
        <v>14</v>
      </c>
      <c r="N28" s="31">
        <v>1</v>
      </c>
      <c r="O28" s="32">
        <f t="shared" si="0"/>
        <v>0.20000000000000001</v>
      </c>
      <c r="P28" s="93">
        <v>5.5898000000000003</v>
      </c>
      <c r="Q28" s="33">
        <v>50</v>
      </c>
      <c r="R28" s="34">
        <v>2</v>
      </c>
      <c r="S28" s="48">
        <f t="shared" si="1"/>
        <v>5.5898000000000003</v>
      </c>
      <c r="T28" s="49">
        <f t="shared" si="2"/>
        <v>2.2533204180719619</v>
      </c>
      <c r="U28" s="35">
        <v>60.103000000000002</v>
      </c>
      <c r="V28" s="36">
        <v>8</v>
      </c>
      <c r="W28" s="34">
        <f t="shared" si="3"/>
        <v>1.6000000000000001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102">
        <v>636</v>
      </c>
      <c r="AQ28" s="53">
        <v>1.8010999999999999</v>
      </c>
      <c r="AR28" s="53">
        <v>0.20000000000000001</v>
      </c>
      <c r="AT28" s="103">
        <v>636</v>
      </c>
      <c r="AU28" s="99">
        <v>8.4763999999999999</v>
      </c>
      <c r="AV28" s="100">
        <v>3.4169460788838917</v>
      </c>
      <c r="AX28" s="103">
        <v>636</v>
      </c>
      <c r="AY28" s="53">
        <v>56.451000000000001</v>
      </c>
      <c r="AZ28" s="53">
        <v>1.6000000000000001</v>
      </c>
    </row>
    <row r="29">
      <c r="A29" s="4"/>
      <c r="B29" s="4"/>
      <c r="C29" s="24"/>
      <c r="D29" s="25"/>
      <c r="E29" s="24"/>
      <c r="F29" s="25"/>
      <c r="G29" s="25"/>
      <c r="H29" s="4"/>
      <c r="I29" s="4"/>
      <c r="J29" s="93"/>
      <c r="K29" s="28">
        <v>630</v>
      </c>
      <c r="L29" s="29">
        <v>0.62341999999999997</v>
      </c>
      <c r="M29" s="30">
        <v>7</v>
      </c>
      <c r="N29" s="31">
        <v>1</v>
      </c>
      <c r="O29" s="32">
        <f t="shared" si="0"/>
        <v>0.20000000000000001</v>
      </c>
      <c r="P29" s="93">
        <v>4.4150999999999998</v>
      </c>
      <c r="Q29" s="33">
        <v>60</v>
      </c>
      <c r="R29" s="34">
        <v>2</v>
      </c>
      <c r="S29" s="48">
        <f t="shared" si="1"/>
        <v>4.4150999999999998</v>
      </c>
      <c r="T29" s="49">
        <f t="shared" si="2"/>
        <v>1.7797837092256463</v>
      </c>
      <c r="U29" s="35">
        <v>56.551000000000002</v>
      </c>
      <c r="V29" s="36">
        <v>8</v>
      </c>
      <c r="W29" s="34">
        <f t="shared" si="3"/>
        <v>1.6000000000000001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52">
        <v>634</v>
      </c>
      <c r="AQ29" s="53">
        <v>1.0136000000000001</v>
      </c>
      <c r="AR29" s="53">
        <v>0.20000000000000001</v>
      </c>
      <c r="AT29" s="54">
        <v>634</v>
      </c>
      <c r="AU29" s="99">
        <v>7.4706999999999999</v>
      </c>
      <c r="AV29" s="100">
        <v>3.0115354480106991</v>
      </c>
      <c r="AX29" s="54">
        <v>634</v>
      </c>
      <c r="AY29" s="53">
        <v>60.066000000000003</v>
      </c>
      <c r="AZ29" s="53">
        <v>1.6000000000000001</v>
      </c>
    </row>
    <row r="30">
      <c r="A30" s="4"/>
      <c r="B30" s="4"/>
      <c r="C30" s="24"/>
      <c r="D30" s="25"/>
      <c r="E30" s="24"/>
      <c r="F30" s="25"/>
      <c r="G30" s="25"/>
      <c r="H30" s="4"/>
      <c r="I30" s="4"/>
      <c r="J30" s="93"/>
      <c r="K30" s="28">
        <v>625</v>
      </c>
      <c r="L30" s="29">
        <v>0.61068999999999996</v>
      </c>
      <c r="M30" s="30">
        <v>20</v>
      </c>
      <c r="N30" s="31">
        <v>1</v>
      </c>
      <c r="O30" s="32">
        <f t="shared" si="0"/>
        <v>0.20000000000000001</v>
      </c>
      <c r="P30" s="93">
        <v>4.1463999999999999</v>
      </c>
      <c r="Q30" s="33">
        <v>20</v>
      </c>
      <c r="R30" s="34">
        <v>1</v>
      </c>
      <c r="S30" s="48">
        <f t="shared" si="1"/>
        <v>4.1463999999999999</v>
      </c>
      <c r="T30" s="49">
        <f t="shared" si="2"/>
        <v>0.85480225830305345</v>
      </c>
      <c r="U30" s="35">
        <v>60.012999999999998</v>
      </c>
      <c r="V30" s="36">
        <v>8</v>
      </c>
      <c r="W30" s="34">
        <f t="shared" si="3"/>
        <v>1.6000000000000001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52">
        <v>632</v>
      </c>
      <c r="AQ30" s="53">
        <v>0.69137999999999999</v>
      </c>
      <c r="AR30" s="53">
        <v>0.20000000000000001</v>
      </c>
      <c r="AT30" s="54">
        <v>632</v>
      </c>
      <c r="AU30" s="99">
        <v>5.5898000000000003</v>
      </c>
      <c r="AV30" s="100">
        <v>2.2533204180719619</v>
      </c>
      <c r="AX30" s="54">
        <v>632</v>
      </c>
      <c r="AY30" s="53">
        <v>60.103000000000002</v>
      </c>
      <c r="AZ30" s="53">
        <v>1.6000000000000001</v>
      </c>
    </row>
    <row r="31">
      <c r="A31" s="4"/>
      <c r="B31" s="4"/>
      <c r="C31" s="24"/>
      <c r="D31" s="25"/>
      <c r="E31" s="24"/>
      <c r="F31" s="25"/>
      <c r="G31" s="25"/>
      <c r="H31" s="4"/>
      <c r="I31" s="4"/>
      <c r="J31" s="93"/>
      <c r="K31" s="28">
        <v>620</v>
      </c>
      <c r="L31" s="29">
        <v>0.60128999999999999</v>
      </c>
      <c r="M31" s="30">
        <v>10</v>
      </c>
      <c r="N31" s="31">
        <v>1</v>
      </c>
      <c r="O31" s="32">
        <f t="shared" si="0"/>
        <v>0.20000000000000001</v>
      </c>
      <c r="P31" s="93">
        <v>3.9171999999999998</v>
      </c>
      <c r="Q31" s="33">
        <v>40</v>
      </c>
      <c r="R31" s="34">
        <v>1</v>
      </c>
      <c r="S31" s="48">
        <f t="shared" si="1"/>
        <v>3.9171999999999998</v>
      </c>
      <c r="T31" s="49">
        <f t="shared" si="2"/>
        <v>0.80755146783347509</v>
      </c>
      <c r="U31" s="35">
        <v>55.164999999999999</v>
      </c>
      <c r="V31" s="36">
        <v>8</v>
      </c>
      <c r="W31" s="34">
        <f t="shared" si="3"/>
        <v>1.6000000000000001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52">
        <v>630</v>
      </c>
      <c r="AQ31" s="53">
        <v>0.62341999999999997</v>
      </c>
      <c r="AR31" s="53">
        <v>0.20000000000000001</v>
      </c>
      <c r="AT31" s="54">
        <v>630</v>
      </c>
      <c r="AU31" s="64">
        <v>4.4150999999999998</v>
      </c>
      <c r="AV31" s="55">
        <v>1.7797837092256463</v>
      </c>
      <c r="AX31" s="54">
        <v>630</v>
      </c>
      <c r="AY31" s="53">
        <v>56.551000000000002</v>
      </c>
      <c r="AZ31" s="53">
        <v>1.6000000000000001</v>
      </c>
    </row>
    <row r="32">
      <c r="A32" s="4"/>
      <c r="B32" s="4"/>
      <c r="C32" s="24"/>
      <c r="D32" s="25"/>
      <c r="E32" s="24"/>
      <c r="F32" s="25"/>
      <c r="G32" s="25"/>
      <c r="H32" s="4"/>
      <c r="I32" s="4"/>
      <c r="J32" s="93"/>
      <c r="K32" s="28">
        <v>610</v>
      </c>
      <c r="L32" s="29">
        <v>0.52819000000000005</v>
      </c>
      <c r="M32" s="30">
        <v>18</v>
      </c>
      <c r="N32" s="104">
        <v>1</v>
      </c>
      <c r="O32" s="32">
        <f t="shared" si="0"/>
        <v>0.20000000000000001</v>
      </c>
      <c r="P32" s="93">
        <v>3.1383000000000001</v>
      </c>
      <c r="Q32" s="33">
        <v>90</v>
      </c>
      <c r="R32" s="34">
        <v>1</v>
      </c>
      <c r="S32" s="48">
        <f t="shared" si="1"/>
        <v>3.1383000000000001</v>
      </c>
      <c r="T32" s="49">
        <f t="shared" si="2"/>
        <v>0.64697711924379531</v>
      </c>
      <c r="U32" s="35">
        <v>57.104999999999997</v>
      </c>
      <c r="V32" s="36">
        <v>8</v>
      </c>
      <c r="W32" s="34">
        <f t="shared" si="3"/>
        <v>1.6000000000000001</v>
      </c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52">
        <v>625</v>
      </c>
      <c r="AQ32" s="53">
        <v>0.61068999999999996</v>
      </c>
      <c r="AR32" s="53">
        <v>0.20000000000000001</v>
      </c>
      <c r="AT32" s="54">
        <v>625</v>
      </c>
      <c r="AU32" s="64">
        <v>4.1463999999999999</v>
      </c>
      <c r="AV32" s="55">
        <v>0.85480225830305345</v>
      </c>
      <c r="AX32" s="54">
        <v>625</v>
      </c>
      <c r="AY32" s="53">
        <v>60.012999999999998</v>
      </c>
      <c r="AZ32" s="53">
        <v>1.6000000000000001</v>
      </c>
    </row>
    <row r="33">
      <c r="A33" s="4"/>
      <c r="B33" s="4"/>
      <c r="C33" s="24"/>
      <c r="D33" s="25"/>
      <c r="E33" s="24"/>
      <c r="F33" s="25"/>
      <c r="G33" s="25"/>
      <c r="H33" s="4"/>
      <c r="I33" s="4"/>
      <c r="J33" s="93"/>
      <c r="K33" s="28">
        <v>600</v>
      </c>
      <c r="L33" s="29">
        <v>0.50912999999999997</v>
      </c>
      <c r="M33" s="30">
        <v>20</v>
      </c>
      <c r="N33" s="104">
        <v>1</v>
      </c>
      <c r="O33" s="32">
        <f t="shared" si="0"/>
        <v>0.20000000000000001</v>
      </c>
      <c r="P33" s="93">
        <v>2.3658999999999999</v>
      </c>
      <c r="Q33" s="33">
        <v>50</v>
      </c>
      <c r="R33" s="34">
        <v>1</v>
      </c>
      <c r="S33" s="48">
        <f t="shared" si="1"/>
        <v>2.3658999999999999</v>
      </c>
      <c r="T33" s="49">
        <f t="shared" si="2"/>
        <v>0.4877427799824412</v>
      </c>
      <c r="U33" s="35">
        <v>54.781999999999996</v>
      </c>
      <c r="V33" s="36">
        <v>8</v>
      </c>
      <c r="W33" s="34">
        <f t="shared" si="3"/>
        <v>1.6000000000000001</v>
      </c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52">
        <v>620</v>
      </c>
      <c r="AQ33" s="53">
        <v>0.60128999999999999</v>
      </c>
      <c r="AR33" s="53">
        <v>0.20000000000000001</v>
      </c>
      <c r="AT33" s="54">
        <v>620</v>
      </c>
      <c r="AU33" s="64">
        <v>3.9171999999999998</v>
      </c>
      <c r="AV33" s="55">
        <v>0.80755146783347509</v>
      </c>
      <c r="AX33" s="54">
        <v>620</v>
      </c>
      <c r="AY33" s="53">
        <v>55.164999999999999</v>
      </c>
      <c r="AZ33" s="53">
        <v>1.6000000000000001</v>
      </c>
    </row>
    <row r="34">
      <c r="A34" s="4"/>
      <c r="B34" s="4"/>
      <c r="C34" s="24"/>
      <c r="D34" s="25"/>
      <c r="E34" s="24"/>
      <c r="F34" s="25"/>
      <c r="G34" s="25"/>
      <c r="H34" s="4"/>
      <c r="I34" s="4"/>
      <c r="J34" s="105"/>
      <c r="K34" s="28">
        <v>590</v>
      </c>
      <c r="L34" s="29">
        <v>0.43237999999999999</v>
      </c>
      <c r="M34" s="30">
        <v>15</v>
      </c>
      <c r="N34" s="104">
        <v>1</v>
      </c>
      <c r="O34" s="32">
        <f t="shared" si="0"/>
        <v>0.20000000000000001</v>
      </c>
      <c r="P34" s="93">
        <v>1.7081999999999999</v>
      </c>
      <c r="Q34" s="33">
        <v>50</v>
      </c>
      <c r="R34" s="34">
        <v>1</v>
      </c>
      <c r="S34" s="48">
        <f t="shared" si="1"/>
        <v>1.7081999999999999</v>
      </c>
      <c r="T34" s="49">
        <f t="shared" si="2"/>
        <v>0.35215445148400443</v>
      </c>
      <c r="U34" s="35">
        <v>52.353000000000002</v>
      </c>
      <c r="V34" s="36">
        <v>8</v>
      </c>
      <c r="W34" s="34">
        <f t="shared" si="3"/>
        <v>1.6000000000000001</v>
      </c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52">
        <v>610</v>
      </c>
      <c r="AQ34" s="53">
        <v>0.52819000000000005</v>
      </c>
      <c r="AR34" s="53">
        <v>0.20000000000000001</v>
      </c>
      <c r="AT34" s="54">
        <v>610</v>
      </c>
      <c r="AU34" s="64">
        <v>3.1383000000000001</v>
      </c>
      <c r="AV34" s="55">
        <v>0.64697711924379531</v>
      </c>
      <c r="AX34" s="54">
        <v>610</v>
      </c>
      <c r="AY34" s="53">
        <v>57.104999999999997</v>
      </c>
      <c r="AZ34" s="53">
        <v>1.6000000000000001</v>
      </c>
    </row>
    <row r="35">
      <c r="A35" s="4"/>
      <c r="B35" s="4"/>
      <c r="C35" s="24"/>
      <c r="D35" s="25"/>
      <c r="E35" s="24"/>
      <c r="F35" s="25"/>
      <c r="G35" s="25"/>
      <c r="H35" s="4"/>
      <c r="I35" s="4"/>
      <c r="J35" s="105"/>
      <c r="K35" s="28">
        <v>580</v>
      </c>
      <c r="L35" s="29">
        <v>0.44163999999999998</v>
      </c>
      <c r="M35" s="30">
        <v>30</v>
      </c>
      <c r="N35" s="104">
        <v>1</v>
      </c>
      <c r="O35" s="32">
        <f t="shared" si="0"/>
        <v>0.20000000000000001</v>
      </c>
      <c r="P35" s="93">
        <v>1.3029999999999999</v>
      </c>
      <c r="Q35" s="33">
        <v>50</v>
      </c>
      <c r="R35" s="34">
        <v>1</v>
      </c>
      <c r="S35" s="48">
        <f t="shared" si="1"/>
        <v>1.3029999999999999</v>
      </c>
      <c r="T35" s="49">
        <f t="shared" si="2"/>
        <v>0.26862033150899062</v>
      </c>
      <c r="U35" s="35">
        <v>60.283000000000001</v>
      </c>
      <c r="V35" s="36">
        <v>8</v>
      </c>
      <c r="W35" s="34">
        <f t="shared" si="3"/>
        <v>1.6000000000000001</v>
      </c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52">
        <v>600</v>
      </c>
      <c r="AQ35" s="53">
        <v>0.50912999999999997</v>
      </c>
      <c r="AR35" s="53">
        <v>0.20000000000000001</v>
      </c>
      <c r="AT35" s="54">
        <v>600</v>
      </c>
      <c r="AU35" s="64">
        <v>2.3658999999999999</v>
      </c>
      <c r="AV35" s="55">
        <v>0.4877427799824412</v>
      </c>
      <c r="AX35" s="54">
        <v>600</v>
      </c>
      <c r="AY35" s="53">
        <v>54.781999999999996</v>
      </c>
      <c r="AZ35" s="53">
        <v>1.6000000000000001</v>
      </c>
    </row>
    <row r="36">
      <c r="A36" s="4"/>
      <c r="B36" s="4"/>
      <c r="C36" s="24"/>
      <c r="D36" s="25"/>
      <c r="E36" s="24"/>
      <c r="F36" s="25"/>
      <c r="G36" s="25"/>
      <c r="H36" s="4"/>
      <c r="I36" s="4"/>
      <c r="J36" s="105"/>
      <c r="K36" s="28">
        <v>570</v>
      </c>
      <c r="L36" s="29">
        <v>0.39615</v>
      </c>
      <c r="M36" s="30">
        <v>7</v>
      </c>
      <c r="N36" s="104">
        <v>1</v>
      </c>
      <c r="O36" s="32">
        <f t="shared" si="0"/>
        <v>0.20000000000000001</v>
      </c>
      <c r="P36" s="106">
        <v>0.93610000000000004</v>
      </c>
      <c r="Q36" s="33">
        <v>20</v>
      </c>
      <c r="R36" s="34">
        <v>1</v>
      </c>
      <c r="S36" s="48">
        <f t="shared" si="1"/>
        <v>0.93610000000000004</v>
      </c>
      <c r="T36" s="49">
        <f t="shared" si="2"/>
        <v>0.19298195880703464</v>
      </c>
      <c r="U36" s="35">
        <v>51.607999999999997</v>
      </c>
      <c r="V36" s="36">
        <v>8</v>
      </c>
      <c r="W36" s="34">
        <f t="shared" si="3"/>
        <v>1.6000000000000001</v>
      </c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52">
        <v>590</v>
      </c>
      <c r="AQ36" s="53">
        <v>0.43237999999999999</v>
      </c>
      <c r="AR36" s="53">
        <v>0.20000000000000001</v>
      </c>
      <c r="AT36" s="54">
        <v>590</v>
      </c>
      <c r="AU36" s="64">
        <v>1.7081999999999999</v>
      </c>
      <c r="AV36" s="55">
        <v>0.35215445148400443</v>
      </c>
      <c r="AX36" s="54">
        <v>590</v>
      </c>
      <c r="AY36" s="53">
        <v>52.353000000000002</v>
      </c>
      <c r="AZ36" s="53">
        <v>1.6000000000000001</v>
      </c>
    </row>
    <row r="37">
      <c r="A37" s="4"/>
      <c r="B37" s="4"/>
      <c r="C37" s="24"/>
      <c r="D37" s="25"/>
      <c r="E37" s="24"/>
      <c r="F37" s="25"/>
      <c r="G37" s="25"/>
      <c r="H37" s="4"/>
      <c r="I37" s="4"/>
      <c r="J37" s="105"/>
      <c r="K37" s="107">
        <v>560</v>
      </c>
      <c r="L37" s="108">
        <v>0.35138999999999998</v>
      </c>
      <c r="M37" s="109">
        <v>16</v>
      </c>
      <c r="N37" s="110">
        <v>1</v>
      </c>
      <c r="O37" s="32">
        <f t="shared" si="0"/>
        <v>0.20000000000000001</v>
      </c>
      <c r="P37" s="111">
        <v>0.83167000000000002</v>
      </c>
      <c r="Q37" s="112">
        <v>70</v>
      </c>
      <c r="R37" s="113">
        <v>1</v>
      </c>
      <c r="S37" s="48">
        <f t="shared" si="1"/>
        <v>0.83167000000000002</v>
      </c>
      <c r="T37" s="49">
        <f t="shared" si="2"/>
        <v>0.17145316278287201</v>
      </c>
      <c r="U37" s="114">
        <v>58.274999999999999</v>
      </c>
      <c r="V37" s="115">
        <v>8</v>
      </c>
      <c r="W37" s="113">
        <f t="shared" si="3"/>
        <v>1.6000000000000001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52">
        <v>580</v>
      </c>
      <c r="AQ37" s="53">
        <v>0.44163999999999998</v>
      </c>
      <c r="AR37" s="53">
        <v>0.20000000000000001</v>
      </c>
      <c r="AT37" s="54">
        <v>580</v>
      </c>
      <c r="AU37" s="64">
        <v>1.3029999999999999</v>
      </c>
      <c r="AV37" s="55">
        <v>0.26862033150899062</v>
      </c>
      <c r="AX37" s="54">
        <v>580</v>
      </c>
      <c r="AY37" s="53">
        <v>60.283000000000001</v>
      </c>
      <c r="AZ37" s="53">
        <v>1.6000000000000001</v>
      </c>
    </row>
    <row r="38">
      <c r="A38" s="4"/>
      <c r="B38" s="4"/>
      <c r="C38" s="26"/>
      <c r="D38" s="4"/>
      <c r="E38" s="26"/>
      <c r="F38" s="4"/>
      <c r="G38" s="4"/>
      <c r="H38" s="4"/>
      <c r="I38" s="4"/>
      <c r="J38" s="4"/>
      <c r="K38" s="4">
        <v>550</v>
      </c>
      <c r="L38" s="26">
        <v>0.35705999999999999</v>
      </c>
      <c r="M38" s="116">
        <v>30</v>
      </c>
      <c r="N38" s="26">
        <v>1</v>
      </c>
      <c r="O38" s="32">
        <f t="shared" si="0"/>
        <v>0.20000000000000001</v>
      </c>
      <c r="P38" s="117">
        <v>0.64524000000000004</v>
      </c>
      <c r="Q38" s="4">
        <v>50</v>
      </c>
      <c r="R38" s="4">
        <v>1</v>
      </c>
      <c r="S38" s="48">
        <f t="shared" si="1"/>
        <v>0.64524000000000004</v>
      </c>
      <c r="T38" s="49">
        <f t="shared" si="2"/>
        <v>0.133019633693677</v>
      </c>
      <c r="U38" s="4">
        <v>43.024999999999999</v>
      </c>
      <c r="V38" s="4">
        <v>8</v>
      </c>
      <c r="W38" s="113">
        <f t="shared" si="3"/>
        <v>1.6000000000000001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52">
        <v>570</v>
      </c>
      <c r="AQ38" s="53">
        <v>0.39615</v>
      </c>
      <c r="AR38" s="53">
        <v>0.20000000000000001</v>
      </c>
      <c r="AT38" s="54">
        <v>570</v>
      </c>
      <c r="AU38" s="118">
        <v>0.93610000000000004</v>
      </c>
      <c r="AV38" s="119">
        <v>0.19298195880703464</v>
      </c>
      <c r="AX38" s="54">
        <v>570</v>
      </c>
      <c r="AY38" s="53">
        <v>51.607999999999997</v>
      </c>
      <c r="AZ38" s="53">
        <v>1.6000000000000001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>
        <v>540</v>
      </c>
      <c r="L39" s="26">
        <v>0.28378999999999999</v>
      </c>
      <c r="M39" s="116">
        <v>11</v>
      </c>
      <c r="N39" s="120">
        <v>1</v>
      </c>
      <c r="O39" s="32">
        <f t="shared" si="0"/>
        <v>0.20000000000000001</v>
      </c>
      <c r="P39" s="120">
        <v>0.58816999999999997</v>
      </c>
      <c r="Q39" s="4">
        <v>50</v>
      </c>
      <c r="R39" s="4">
        <v>1</v>
      </c>
      <c r="S39" s="48">
        <f t="shared" si="1"/>
        <v>0.58816999999999997</v>
      </c>
      <c r="T39" s="49">
        <f t="shared" si="2"/>
        <v>0.12125435179097699</v>
      </c>
      <c r="U39" s="4">
        <v>41.061999999999998</v>
      </c>
      <c r="V39" s="4">
        <v>8</v>
      </c>
      <c r="W39" s="113">
        <f t="shared" si="3"/>
        <v>1.6000000000000001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52">
        <v>560</v>
      </c>
      <c r="AQ39" s="53">
        <v>0.35138999999999998</v>
      </c>
      <c r="AR39" s="53">
        <v>0.20000000000000001</v>
      </c>
      <c r="AT39" s="54">
        <v>560</v>
      </c>
      <c r="AU39" s="118">
        <v>0.83167000000000002</v>
      </c>
      <c r="AV39" s="119">
        <v>0.17145316278287201</v>
      </c>
      <c r="AX39" s="54">
        <v>560</v>
      </c>
      <c r="AY39" s="53">
        <v>58.274999999999999</v>
      </c>
      <c r="AZ39" s="53">
        <v>1.6000000000000001</v>
      </c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26"/>
      <c r="M40" s="26"/>
      <c r="N40" s="26"/>
      <c r="O40" s="26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121">
        <v>550</v>
      </c>
      <c r="AQ40" s="53">
        <v>0.35705999999999999</v>
      </c>
      <c r="AR40" s="53">
        <v>0.20000000000000001</v>
      </c>
      <c r="AT40" s="122">
        <v>550</v>
      </c>
      <c r="AU40" s="118">
        <v>0.64524000000000004</v>
      </c>
      <c r="AV40" s="119">
        <v>0.133019633693677</v>
      </c>
      <c r="AX40" s="122">
        <v>550</v>
      </c>
      <c r="AY40" s="53">
        <v>43.024999999999999</v>
      </c>
      <c r="AZ40" s="53">
        <v>1.6000000000000001</v>
      </c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26"/>
      <c r="M41" s="26"/>
      <c r="N41" s="26"/>
      <c r="O41" s="26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121">
        <v>540</v>
      </c>
      <c r="AQ41" s="53">
        <v>0.28378999999999999</v>
      </c>
      <c r="AR41" s="53">
        <v>0.20000000000000001</v>
      </c>
      <c r="AT41" s="122">
        <v>540</v>
      </c>
      <c r="AU41" s="118">
        <v>0.58816999999999997</v>
      </c>
      <c r="AV41" s="119">
        <v>0.12125435179097699</v>
      </c>
      <c r="AX41" s="122">
        <v>540</v>
      </c>
      <c r="AY41" s="53">
        <v>41.061999999999998</v>
      </c>
      <c r="AZ41" s="53">
        <v>1.6000000000000001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26"/>
      <c r="M42" s="26"/>
      <c r="N42" s="26"/>
      <c r="O42" s="26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26"/>
      <c r="M43" s="26"/>
      <c r="N43" s="26"/>
      <c r="O43" s="26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>
      <c r="A44" s="4"/>
      <c r="B44" s="4"/>
      <c r="C44" s="24"/>
      <c r="D44" s="25"/>
      <c r="E44" s="24"/>
      <c r="F44" s="25"/>
      <c r="G44" s="26"/>
      <c r="H44" s="4"/>
      <c r="I44" s="4"/>
      <c r="J44" s="105"/>
      <c r="K44" s="105"/>
      <c r="L44" s="26"/>
      <c r="M44" s="26"/>
      <c r="N44" s="26"/>
      <c r="O44" s="26"/>
      <c r="P44" s="4"/>
      <c r="Q44" s="4"/>
      <c r="R44" s="123"/>
      <c r="S44" s="123"/>
      <c r="T44" s="123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>
      <c r="A45" s="4"/>
      <c r="B45" s="4"/>
      <c r="C45" s="24"/>
      <c r="D45" s="25"/>
      <c r="E45" s="24"/>
      <c r="F45" s="25"/>
      <c r="G45" s="26"/>
      <c r="H45" s="4"/>
      <c r="I45" s="4"/>
      <c r="J45" s="105"/>
      <c r="K45" s="105"/>
      <c r="L45" s="26"/>
      <c r="M45" s="26"/>
      <c r="N45" s="26"/>
      <c r="O45" s="26"/>
      <c r="P45" s="4"/>
      <c r="Q45" s="4"/>
      <c r="R45" s="123"/>
      <c r="S45" s="123"/>
      <c r="T45" s="123"/>
      <c r="U45" s="4"/>
      <c r="V45" s="4"/>
      <c r="W45" s="4"/>
      <c r="X45" s="4"/>
      <c r="Y45" s="124" t="s">
        <v>49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>
      <c r="A46" s="4"/>
      <c r="B46" s="4"/>
      <c r="C46" s="24"/>
      <c r="D46" s="25"/>
      <c r="E46" s="24"/>
      <c r="F46" s="25"/>
      <c r="G46" s="26"/>
      <c r="H46" s="4"/>
      <c r="I46" s="4"/>
      <c r="J46" s="105"/>
      <c r="K46" s="105"/>
      <c r="L46" s="26"/>
      <c r="M46" s="26"/>
      <c r="N46" s="26"/>
      <c r="O46" s="26"/>
      <c r="P46" s="4"/>
      <c r="Q46" s="4"/>
      <c r="R46" s="123"/>
      <c r="S46" s="123"/>
      <c r="T46" s="123"/>
      <c r="U46" s="4"/>
      <c r="V46" s="4"/>
      <c r="W46" s="4"/>
      <c r="X46" s="4"/>
      <c r="Y46" s="124" t="s">
        <v>50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>
      <c r="A47" s="4"/>
      <c r="B47" s="4"/>
      <c r="C47" s="24"/>
      <c r="D47" s="25"/>
      <c r="E47" s="24"/>
      <c r="F47" s="25"/>
      <c r="G47" s="26"/>
      <c r="H47" s="4"/>
      <c r="I47" s="4"/>
      <c r="J47" s="105"/>
      <c r="K47" s="105"/>
      <c r="L47" s="125" t="s">
        <v>9</v>
      </c>
      <c r="M47" s="126"/>
      <c r="N47" s="126"/>
      <c r="O47" s="127"/>
      <c r="P47" s="128" t="s">
        <v>51</v>
      </c>
      <c r="Q47" s="129"/>
      <c r="R47" s="14"/>
      <c r="S47" s="11"/>
      <c r="T47" s="130"/>
      <c r="U47" s="131"/>
      <c r="V47" s="132" t="s">
        <v>52</v>
      </c>
      <c r="W47" s="133"/>
      <c r="X47" s="12" t="s">
        <v>10</v>
      </c>
      <c r="Y47" s="131"/>
      <c r="Z47" s="134"/>
      <c r="AA47" s="135" t="s">
        <v>53</v>
      </c>
      <c r="AB47" s="134"/>
      <c r="AC47" s="135" t="s">
        <v>54</v>
      </c>
      <c r="AD47" s="133"/>
      <c r="AE47" s="136" t="s">
        <v>11</v>
      </c>
      <c r="AF47" s="137"/>
      <c r="AG47" s="138"/>
      <c r="AH47" s="4"/>
      <c r="AI47" s="4"/>
      <c r="AJ47" s="4"/>
      <c r="AK47" s="4"/>
      <c r="AL47" s="4"/>
      <c r="AM47" s="45" t="s">
        <v>22</v>
      </c>
      <c r="AN47" s="51"/>
      <c r="AO47" s="51"/>
      <c r="AP47" s="51"/>
    </row>
    <row r="48">
      <c r="A48" s="4"/>
      <c r="B48" s="4"/>
      <c r="C48" s="24"/>
      <c r="D48" s="25"/>
      <c r="E48" s="24"/>
      <c r="F48" s="25"/>
      <c r="G48" s="26"/>
      <c r="H48" s="4"/>
      <c r="I48" s="4"/>
      <c r="J48" s="105"/>
      <c r="K48" s="139" t="s">
        <v>0</v>
      </c>
      <c r="L48" s="140" t="s">
        <v>13</v>
      </c>
      <c r="M48" s="140"/>
      <c r="N48" s="140"/>
      <c r="O48" s="140" t="s">
        <v>55</v>
      </c>
      <c r="P48" s="141" t="s">
        <v>56</v>
      </c>
      <c r="Q48" s="141"/>
      <c r="R48" s="141" t="s">
        <v>57</v>
      </c>
      <c r="S48" s="142"/>
      <c r="T48" s="133"/>
      <c r="U48" s="133"/>
      <c r="V48" s="143" t="s">
        <v>56</v>
      </c>
      <c r="W48" s="144" t="s">
        <v>57</v>
      </c>
      <c r="X48" s="145" t="s">
        <v>13</v>
      </c>
      <c r="Y48" s="145" t="s">
        <v>15</v>
      </c>
      <c r="Z48" s="145" t="s">
        <v>55</v>
      </c>
      <c r="AA48" s="146" t="s">
        <v>58</v>
      </c>
      <c r="AB48" s="144" t="s">
        <v>59</v>
      </c>
      <c r="AC48" s="143" t="s">
        <v>56</v>
      </c>
      <c r="AD48" s="144" t="s">
        <v>57</v>
      </c>
      <c r="AE48" s="145" t="s">
        <v>17</v>
      </c>
      <c r="AF48" s="147" t="s">
        <v>15</v>
      </c>
      <c r="AG48" s="145" t="s">
        <v>60</v>
      </c>
      <c r="AH48" s="4"/>
      <c r="AI48" s="4"/>
      <c r="AJ48" s="4"/>
      <c r="AK48" s="4"/>
      <c r="AL48" s="4"/>
      <c r="AM48" s="56"/>
      <c r="AN48" s="61" t="s">
        <v>26</v>
      </c>
      <c r="AO48" s="61" t="s">
        <v>27</v>
      </c>
      <c r="AP48" s="4"/>
    </row>
    <row r="49">
      <c r="A49" s="4"/>
      <c r="B49" s="4"/>
      <c r="C49" s="24"/>
      <c r="D49" s="25"/>
      <c r="E49" s="24"/>
      <c r="F49" s="25"/>
      <c r="G49" s="26"/>
      <c r="H49" s="4"/>
      <c r="I49" s="4"/>
      <c r="J49" s="105"/>
      <c r="K49" s="148">
        <v>740</v>
      </c>
      <c r="L49" s="149">
        <v>4.2000000000000002</v>
      </c>
      <c r="M49" s="149"/>
      <c r="N49" s="32"/>
      <c r="O49" s="32" t="e">
        <f>#REF!/5</f>
        <v>#REF!</v>
      </c>
      <c r="P49" s="150"/>
      <c r="Q49" s="150"/>
      <c r="R49" s="150"/>
      <c r="S49" s="151"/>
      <c r="T49" s="56"/>
      <c r="U49" s="152"/>
      <c r="V49" s="153"/>
      <c r="W49" s="93"/>
      <c r="X49" s="149">
        <v>2.6200000000000001</v>
      </c>
      <c r="Y49" s="34">
        <v>2</v>
      </c>
      <c r="Z49" s="34">
        <f t="shared" ref="Z49:Z75" si="5">Y49/5</f>
        <v>0.40000000000000002</v>
      </c>
      <c r="AA49" s="154"/>
      <c r="AB49" s="155"/>
      <c r="AC49" s="156"/>
      <c r="AD49" s="157"/>
      <c r="AE49" s="149">
        <v>16.859999999999999</v>
      </c>
      <c r="AF49" s="158">
        <v>5</v>
      </c>
      <c r="AG49" s="34">
        <f t="shared" ref="AG49:AG75" si="6">AF49/5</f>
        <v>1</v>
      </c>
      <c r="AH49" s="4"/>
      <c r="AI49" s="4"/>
      <c r="AJ49" s="4"/>
      <c r="AK49" s="4"/>
      <c r="AL49" s="4"/>
      <c r="AM49" s="65" t="s">
        <v>30</v>
      </c>
      <c r="AN49" s="72" t="e">
        <f>#REF!</f>
        <v>#REF!</v>
      </c>
      <c r="AO49" s="72" t="e">
        <f>#REF!</f>
        <v>#REF!</v>
      </c>
      <c r="AP49" s="98"/>
    </row>
    <row r="50">
      <c r="A50" s="4"/>
      <c r="B50" s="4"/>
      <c r="C50" s="24"/>
      <c r="D50" s="25"/>
      <c r="E50" s="24"/>
      <c r="F50" s="25"/>
      <c r="G50" s="26"/>
      <c r="H50" s="4"/>
      <c r="I50" s="4"/>
      <c r="J50" s="105"/>
      <c r="K50" s="148">
        <v>730</v>
      </c>
      <c r="L50" s="149">
        <v>4.5300000000000002</v>
      </c>
      <c r="M50" s="149"/>
      <c r="N50" s="32"/>
      <c r="O50" s="32" t="e">
        <f>#REF!/5</f>
        <v>#REF!</v>
      </c>
      <c r="P50" s="150"/>
      <c r="Q50" s="150"/>
      <c r="R50" s="150"/>
      <c r="S50" s="151"/>
      <c r="T50" s="151"/>
      <c r="U50" s="159"/>
      <c r="V50" s="93"/>
      <c r="W50" s="93"/>
      <c r="X50" s="149">
        <v>2.5099999999999998</v>
      </c>
      <c r="Y50" s="34">
        <v>2</v>
      </c>
      <c r="Z50" s="34">
        <f t="shared" si="5"/>
        <v>0.40000000000000002</v>
      </c>
      <c r="AA50" s="160"/>
      <c r="AB50" s="155"/>
      <c r="AC50" s="161"/>
      <c r="AD50" s="157"/>
      <c r="AE50" s="149">
        <v>19.379999999999999</v>
      </c>
      <c r="AF50" s="158">
        <v>5</v>
      </c>
      <c r="AG50" s="34">
        <f t="shared" si="6"/>
        <v>1</v>
      </c>
      <c r="AH50" s="4"/>
      <c r="AI50" s="4"/>
      <c r="AJ50" s="4"/>
      <c r="AK50" s="4"/>
      <c r="AL50" s="4"/>
      <c r="AM50" s="71" t="s">
        <v>33</v>
      </c>
      <c r="AN50" s="72" t="e">
        <f>#REF!</f>
        <v>#REF!</v>
      </c>
      <c r="AO50" s="72" t="e">
        <f>#REF!</f>
        <v>#REF!</v>
      </c>
      <c r="AP50" s="123"/>
    </row>
    <row r="51">
      <c r="A51" s="4"/>
      <c r="B51" s="4"/>
      <c r="C51" s="24"/>
      <c r="D51" s="25"/>
      <c r="E51" s="24"/>
      <c r="F51" s="25"/>
      <c r="G51" s="26"/>
      <c r="H51" s="4"/>
      <c r="I51" s="4"/>
      <c r="J51" s="105"/>
      <c r="K51" s="148">
        <v>720</v>
      </c>
      <c r="L51" s="149">
        <v>4.6399999999999997</v>
      </c>
      <c r="M51" s="149"/>
      <c r="N51" s="32"/>
      <c r="O51" s="32" t="e">
        <f>#REF!/5</f>
        <v>#REF!</v>
      </c>
      <c r="P51" s="150"/>
      <c r="Q51" s="150"/>
      <c r="R51" s="150"/>
      <c r="S51" s="151"/>
      <c r="T51" s="151"/>
      <c r="U51" s="159"/>
      <c r="V51" s="93"/>
      <c r="W51" s="93"/>
      <c r="X51" s="149">
        <v>2.4399999999999999</v>
      </c>
      <c r="Y51" s="34">
        <v>2</v>
      </c>
      <c r="Z51" s="34">
        <f t="shared" si="5"/>
        <v>0.40000000000000002</v>
      </c>
      <c r="AA51" s="160"/>
      <c r="AB51" s="155"/>
      <c r="AC51" s="161"/>
      <c r="AD51" s="157"/>
      <c r="AE51" s="149">
        <v>20.93</v>
      </c>
      <c r="AF51" s="158">
        <v>5</v>
      </c>
      <c r="AG51" s="34">
        <f t="shared" si="6"/>
        <v>1</v>
      </c>
      <c r="AH51" s="4"/>
      <c r="AI51" s="4"/>
      <c r="AJ51" s="4"/>
      <c r="AK51" s="4"/>
      <c r="AL51" s="4"/>
      <c r="AM51" s="63" t="s">
        <v>37</v>
      </c>
      <c r="AN51" s="72" t="e">
        <f>#REF!</f>
        <v>#REF!</v>
      </c>
      <c r="AO51" s="77"/>
      <c r="AP51" s="4"/>
    </row>
    <row r="52">
      <c r="A52" s="4"/>
      <c r="B52" s="4"/>
      <c r="C52" s="24"/>
      <c r="D52" s="25"/>
      <c r="E52" s="24"/>
      <c r="F52" s="25"/>
      <c r="G52" s="26"/>
      <c r="H52" s="4"/>
      <c r="I52" s="4"/>
      <c r="J52" s="105"/>
      <c r="K52" s="148">
        <v>710</v>
      </c>
      <c r="L52" s="149">
        <v>4.5999999999999996</v>
      </c>
      <c r="M52" s="149"/>
      <c r="N52" s="32"/>
      <c r="O52" s="32" t="e">
        <f>#REF!/5</f>
        <v>#REF!</v>
      </c>
      <c r="P52" s="150"/>
      <c r="Q52" s="150"/>
      <c r="R52" s="150"/>
      <c r="S52" s="151"/>
      <c r="T52" s="151"/>
      <c r="U52" s="159"/>
      <c r="V52" s="93"/>
      <c r="W52" s="93"/>
      <c r="X52" s="149">
        <v>2.7799999999999998</v>
      </c>
      <c r="Y52" s="34">
        <v>2</v>
      </c>
      <c r="Z52" s="34">
        <f t="shared" si="5"/>
        <v>0.40000000000000002</v>
      </c>
      <c r="AA52" s="160"/>
      <c r="AB52" s="155"/>
      <c r="AC52" s="161"/>
      <c r="AD52" s="157"/>
      <c r="AE52" s="149">
        <v>21.960000000000001</v>
      </c>
      <c r="AF52" s="158">
        <v>5</v>
      </c>
      <c r="AG52" s="34">
        <f t="shared" si="6"/>
        <v>1</v>
      </c>
      <c r="AH52" s="4"/>
      <c r="AI52" s="4"/>
      <c r="AJ52" s="4"/>
      <c r="AK52" s="4"/>
      <c r="AL52" s="4"/>
      <c r="AM52" s="63" t="s">
        <v>40</v>
      </c>
      <c r="AN52" s="162" t="e">
        <f>#REF!</f>
        <v>#REF!</v>
      </c>
      <c r="AO52" s="80"/>
      <c r="AP52" s="4"/>
    </row>
    <row r="53">
      <c r="A53" s="4"/>
      <c r="B53" s="4"/>
      <c r="C53" s="24"/>
      <c r="D53" s="25"/>
      <c r="E53" s="24"/>
      <c r="F53" s="25"/>
      <c r="G53" s="26"/>
      <c r="H53" s="4"/>
      <c r="I53" s="4"/>
      <c r="J53" s="105"/>
      <c r="K53" s="148">
        <v>700</v>
      </c>
      <c r="L53" s="149">
        <v>4.1100000000000003</v>
      </c>
      <c r="M53" s="149"/>
      <c r="N53" s="32"/>
      <c r="O53" s="32" t="e">
        <f>#REF!/5</f>
        <v>#REF!</v>
      </c>
      <c r="P53" s="150"/>
      <c r="Q53" s="150"/>
      <c r="R53" s="150"/>
      <c r="S53" s="151"/>
      <c r="T53" s="151"/>
      <c r="U53" s="159"/>
      <c r="V53" s="93"/>
      <c r="W53" s="93"/>
      <c r="X53" s="149">
        <v>3.1899999999999999</v>
      </c>
      <c r="Y53" s="34">
        <v>2</v>
      </c>
      <c r="Z53" s="34">
        <f t="shared" si="5"/>
        <v>0.40000000000000002</v>
      </c>
      <c r="AA53" s="160"/>
      <c r="AB53" s="155"/>
      <c r="AC53" s="161"/>
      <c r="AD53" s="157"/>
      <c r="AE53" s="149">
        <v>22.510000000000002</v>
      </c>
      <c r="AF53" s="158">
        <v>5</v>
      </c>
      <c r="AG53" s="34">
        <f t="shared" si="6"/>
        <v>1</v>
      </c>
      <c r="AH53" s="4"/>
      <c r="AI53" s="4"/>
      <c r="AJ53" s="4"/>
      <c r="AK53" s="4"/>
      <c r="AL53" s="4"/>
      <c r="AM53" s="4"/>
      <c r="AN53" s="4"/>
      <c r="AO53" s="4"/>
      <c r="AP53" s="4"/>
    </row>
    <row r="54">
      <c r="A54" s="4"/>
      <c r="B54" s="4"/>
      <c r="C54" s="24"/>
      <c r="D54" s="25"/>
      <c r="E54" s="24"/>
      <c r="F54" s="25"/>
      <c r="G54" s="26"/>
      <c r="H54" s="4"/>
      <c r="I54" s="4"/>
      <c r="J54" s="105"/>
      <c r="K54" s="148">
        <v>698</v>
      </c>
      <c r="L54" s="149">
        <v>4.0599999999999996</v>
      </c>
      <c r="M54" s="149"/>
      <c r="N54" s="32"/>
      <c r="O54" s="32" t="e">
        <f>#REF!/5</f>
        <v>#REF!</v>
      </c>
      <c r="P54" s="150"/>
      <c r="Q54" s="150"/>
      <c r="R54" s="150"/>
      <c r="S54" s="151"/>
      <c r="T54" s="151"/>
      <c r="U54" s="159"/>
      <c r="V54" s="93"/>
      <c r="W54" s="93"/>
      <c r="X54" s="149">
        <v>3.2599999999999998</v>
      </c>
      <c r="Y54" s="34">
        <v>2</v>
      </c>
      <c r="Z54" s="34">
        <f t="shared" si="5"/>
        <v>0.40000000000000002</v>
      </c>
      <c r="AA54" s="160"/>
      <c r="AB54" s="155"/>
      <c r="AC54" s="161"/>
      <c r="AD54" s="157"/>
      <c r="AE54" s="149">
        <v>22.82</v>
      </c>
      <c r="AF54" s="158">
        <v>5</v>
      </c>
      <c r="AG54" s="34">
        <f t="shared" si="6"/>
        <v>1</v>
      </c>
      <c r="AH54" s="4"/>
      <c r="AI54" s="4"/>
      <c r="AJ54" s="4"/>
      <c r="AK54" s="4"/>
      <c r="AL54" s="4"/>
      <c r="AM54" s="90" t="s">
        <v>44</v>
      </c>
      <c r="AN54" s="163" t="s">
        <v>61</v>
      </c>
      <c r="AO54" s="164"/>
      <c r="AP54" s="51"/>
    </row>
    <row r="55">
      <c r="A55" s="4"/>
      <c r="B55" s="4"/>
      <c r="C55" s="24"/>
      <c r="D55" s="25"/>
      <c r="E55" s="24"/>
      <c r="F55" s="25"/>
      <c r="G55" s="26"/>
      <c r="H55" s="4"/>
      <c r="I55" s="4"/>
      <c r="J55" s="105"/>
      <c r="K55" s="148">
        <v>696</v>
      </c>
      <c r="L55" s="149">
        <v>3.9500000000000002</v>
      </c>
      <c r="M55" s="149"/>
      <c r="N55" s="32"/>
      <c r="O55" s="32" t="e">
        <f>#REF!/5</f>
        <v>#REF!</v>
      </c>
      <c r="P55" s="150"/>
      <c r="Q55" s="150"/>
      <c r="R55" s="165"/>
      <c r="S55" s="166"/>
      <c r="T55" s="166"/>
      <c r="U55" s="159"/>
      <c r="V55" s="93"/>
      <c r="W55" s="93"/>
      <c r="X55" s="149">
        <v>3.3799999999999999</v>
      </c>
      <c r="Y55" s="34">
        <v>2</v>
      </c>
      <c r="Z55" s="34">
        <f t="shared" si="5"/>
        <v>0.40000000000000002</v>
      </c>
      <c r="AA55" s="160"/>
      <c r="AB55" s="155"/>
      <c r="AC55" s="161"/>
      <c r="AD55" s="157"/>
      <c r="AE55" s="149">
        <v>22.920000000000002</v>
      </c>
      <c r="AF55" s="158">
        <v>5</v>
      </c>
      <c r="AG55" s="34">
        <f t="shared" si="6"/>
        <v>1</v>
      </c>
      <c r="AH55" s="4"/>
      <c r="AI55" s="4"/>
      <c r="AJ55" s="4"/>
      <c r="AK55" s="4"/>
      <c r="AL55" s="4"/>
      <c r="AM55" s="4"/>
      <c r="AN55" s="4"/>
      <c r="AO55" s="4"/>
      <c r="AP55" s="4"/>
    </row>
    <row r="56">
      <c r="A56" s="4"/>
      <c r="B56" s="4"/>
      <c r="C56" s="24"/>
      <c r="D56" s="25"/>
      <c r="E56" s="24"/>
      <c r="F56" s="25"/>
      <c r="G56" s="26"/>
      <c r="H56" s="4"/>
      <c r="I56" s="4"/>
      <c r="J56" s="105"/>
      <c r="K56" s="148">
        <v>694</v>
      </c>
      <c r="L56" s="149">
        <v>3.7799999999999998</v>
      </c>
      <c r="M56" s="149"/>
      <c r="N56" s="32"/>
      <c r="O56" s="32" t="e">
        <f>#REF!/5</f>
        <v>#REF!</v>
      </c>
      <c r="P56" s="150"/>
      <c r="Q56" s="150"/>
      <c r="R56" s="165"/>
      <c r="S56" s="166"/>
      <c r="T56" s="166"/>
      <c r="U56" s="159"/>
      <c r="V56" s="93"/>
      <c r="W56" s="93"/>
      <c r="X56" s="149">
        <v>3.5299999999999998</v>
      </c>
      <c r="Y56" s="34">
        <v>2</v>
      </c>
      <c r="Z56" s="34">
        <f t="shared" si="5"/>
        <v>0.40000000000000002</v>
      </c>
      <c r="AA56" s="160"/>
      <c r="AB56" s="155"/>
      <c r="AC56" s="161"/>
      <c r="AD56" s="157"/>
      <c r="AE56" s="149">
        <v>23.109999999999999</v>
      </c>
      <c r="AF56" s="158">
        <v>5</v>
      </c>
      <c r="AG56" s="34">
        <f t="shared" si="6"/>
        <v>1</v>
      </c>
      <c r="AH56" s="4"/>
      <c r="AI56" s="4"/>
      <c r="AJ56" s="4"/>
      <c r="AK56" s="4"/>
      <c r="AL56" s="4"/>
      <c r="AM56" s="4"/>
      <c r="AN56" s="4"/>
      <c r="AO56" s="4"/>
      <c r="AP56" s="4"/>
    </row>
    <row r="57">
      <c r="A57" s="4"/>
      <c r="B57" s="4"/>
      <c r="C57" s="24"/>
      <c r="D57" s="25"/>
      <c r="E57" s="24"/>
      <c r="F57" s="25"/>
      <c r="G57" s="26"/>
      <c r="H57" s="4"/>
      <c r="I57" s="4"/>
      <c r="J57" s="105"/>
      <c r="K57" s="148">
        <v>692</v>
      </c>
      <c r="L57" s="149">
        <v>3.5699999999999998</v>
      </c>
      <c r="M57" s="149"/>
      <c r="N57" s="32"/>
      <c r="O57" s="32" t="e">
        <f>#REF!/5</f>
        <v>#REF!</v>
      </c>
      <c r="P57" s="150"/>
      <c r="Q57" s="150"/>
      <c r="R57" s="165"/>
      <c r="S57" s="166"/>
      <c r="T57" s="166"/>
      <c r="U57" s="159"/>
      <c r="V57" s="93"/>
      <c r="W57" s="93"/>
      <c r="X57" s="149">
        <v>3.9199999999999999</v>
      </c>
      <c r="Y57" s="34">
        <v>2</v>
      </c>
      <c r="Z57" s="34">
        <f t="shared" si="5"/>
        <v>0.40000000000000002</v>
      </c>
      <c r="AA57" s="160"/>
      <c r="AB57" s="155"/>
      <c r="AC57" s="161"/>
      <c r="AD57" s="157"/>
      <c r="AE57" s="149">
        <v>22.920000000000002</v>
      </c>
      <c r="AF57" s="158">
        <v>5</v>
      </c>
      <c r="AG57" s="34">
        <f t="shared" si="6"/>
        <v>1</v>
      </c>
      <c r="AH57" s="4"/>
      <c r="AI57" s="4"/>
      <c r="AJ57" s="4"/>
      <c r="AK57" s="4"/>
      <c r="AL57" s="4"/>
      <c r="AM57" s="4"/>
      <c r="AN57" s="4"/>
      <c r="AO57" s="4"/>
      <c r="AP57" s="4"/>
    </row>
    <row r="58">
      <c r="A58" s="4"/>
      <c r="B58" s="4"/>
      <c r="C58" s="24"/>
      <c r="D58" s="25"/>
      <c r="E58" s="24"/>
      <c r="F58" s="25"/>
      <c r="G58" s="26"/>
      <c r="H58" s="4"/>
      <c r="I58" s="4"/>
      <c r="J58" s="105"/>
      <c r="K58" s="148">
        <v>690</v>
      </c>
      <c r="L58" s="149">
        <v>3.3599999999999999</v>
      </c>
      <c r="M58" s="149"/>
      <c r="N58" s="32"/>
      <c r="O58" s="32" t="e">
        <f>#REF!/5</f>
        <v>#REF!</v>
      </c>
      <c r="P58" s="150"/>
      <c r="Q58" s="150"/>
      <c r="R58" s="165"/>
      <c r="S58" s="166"/>
      <c r="T58" s="166"/>
      <c r="U58" s="159"/>
      <c r="V58" s="93"/>
      <c r="W58" s="93"/>
      <c r="X58" s="149">
        <v>4.1699999999999999</v>
      </c>
      <c r="Y58" s="34">
        <v>2</v>
      </c>
      <c r="Z58" s="34">
        <f t="shared" si="5"/>
        <v>0.40000000000000002</v>
      </c>
      <c r="AA58" s="160"/>
      <c r="AB58" s="155"/>
      <c r="AC58" s="161"/>
      <c r="AD58" s="157"/>
      <c r="AE58" s="149">
        <v>22.600000000000001</v>
      </c>
      <c r="AF58" s="158">
        <v>5</v>
      </c>
      <c r="AG58" s="34">
        <f t="shared" si="6"/>
        <v>1</v>
      </c>
      <c r="AH58" s="4"/>
      <c r="AI58" s="4"/>
      <c r="AJ58" s="4"/>
      <c r="AK58" s="4"/>
      <c r="AL58" s="4"/>
      <c r="AM58" s="45" t="s">
        <v>62</v>
      </c>
      <c r="AN58" s="51"/>
      <c r="AO58" s="51"/>
      <c r="AP58" s="51"/>
    </row>
    <row r="59">
      <c r="A59" s="4"/>
      <c r="B59" s="4"/>
      <c r="C59" s="24"/>
      <c r="D59" s="25"/>
      <c r="E59" s="24"/>
      <c r="F59" s="25"/>
      <c r="G59" s="25"/>
      <c r="H59" s="4"/>
      <c r="I59" s="4"/>
      <c r="J59" s="105"/>
      <c r="K59" s="148">
        <v>688</v>
      </c>
      <c r="L59" s="149">
        <v>2.9500000000000002</v>
      </c>
      <c r="M59" s="149"/>
      <c r="N59" s="32"/>
      <c r="O59" s="32" t="e">
        <f>#REF!/5</f>
        <v>#REF!</v>
      </c>
      <c r="P59" s="150"/>
      <c r="Q59" s="150"/>
      <c r="R59" s="150"/>
      <c r="S59" s="151"/>
      <c r="T59" s="151"/>
      <c r="U59" s="159"/>
      <c r="V59" s="93"/>
      <c r="W59" s="93"/>
      <c r="X59" s="149">
        <v>4.6500000000000004</v>
      </c>
      <c r="Y59" s="34">
        <v>2</v>
      </c>
      <c r="Z59" s="34">
        <f t="shared" si="5"/>
        <v>0.40000000000000002</v>
      </c>
      <c r="AA59" s="160"/>
      <c r="AB59" s="155"/>
      <c r="AC59" s="161"/>
      <c r="AD59" s="157"/>
      <c r="AE59" s="149">
        <v>22.539999999999999</v>
      </c>
      <c r="AF59" s="158">
        <v>5</v>
      </c>
      <c r="AG59" s="34">
        <f t="shared" si="6"/>
        <v>1</v>
      </c>
      <c r="AH59" s="4"/>
      <c r="AI59" s="4"/>
      <c r="AJ59" s="4"/>
      <c r="AK59" s="4"/>
      <c r="AL59" s="4"/>
      <c r="AM59" s="56"/>
      <c r="AN59" s="61" t="s">
        <v>26</v>
      </c>
      <c r="AO59" s="61" t="s">
        <v>27</v>
      </c>
      <c r="AP59" s="4"/>
    </row>
    <row r="60">
      <c r="A60" s="4"/>
      <c r="B60" s="4"/>
      <c r="C60" s="24"/>
      <c r="D60" s="25"/>
      <c r="E60" s="24"/>
      <c r="F60" s="25"/>
      <c r="G60" s="25"/>
      <c r="H60" s="4"/>
      <c r="I60" s="4"/>
      <c r="J60" s="105"/>
      <c r="K60" s="148">
        <v>686</v>
      </c>
      <c r="L60" s="149">
        <v>2.5800000000000001</v>
      </c>
      <c r="M60" s="149"/>
      <c r="N60" s="32"/>
      <c r="O60" s="32" t="e">
        <f>#REF!/5</f>
        <v>#REF!</v>
      </c>
      <c r="P60" s="150"/>
      <c r="Q60" s="150"/>
      <c r="R60" s="150"/>
      <c r="S60" s="151"/>
      <c r="T60" s="151"/>
      <c r="U60" s="159"/>
      <c r="V60" s="93"/>
      <c r="W60" s="93"/>
      <c r="X60" s="149">
        <v>4.8300000000000001</v>
      </c>
      <c r="Y60" s="34">
        <v>2</v>
      </c>
      <c r="Z60" s="34">
        <f t="shared" si="5"/>
        <v>0.40000000000000002</v>
      </c>
      <c r="AA60" s="160"/>
      <c r="AB60" s="155"/>
      <c r="AC60" s="161"/>
      <c r="AD60" s="157"/>
      <c r="AE60" s="149">
        <v>24.010000000000002</v>
      </c>
      <c r="AF60" s="158">
        <v>5</v>
      </c>
      <c r="AG60" s="34">
        <f t="shared" si="6"/>
        <v>1</v>
      </c>
      <c r="AH60" s="4"/>
      <c r="AI60" s="4"/>
      <c r="AJ60" s="4"/>
      <c r="AK60" s="4"/>
      <c r="AL60" s="4"/>
      <c r="AM60" s="65" t="s">
        <v>30</v>
      </c>
      <c r="AN60" s="77" t="e">
        <f>#REF!</f>
        <v>#REF!</v>
      </c>
      <c r="AO60" s="77" t="e">
        <f>#REF!</f>
        <v>#REF!</v>
      </c>
      <c r="AP60" s="98"/>
    </row>
    <row r="61">
      <c r="A61" s="4"/>
      <c r="B61" s="4"/>
      <c r="C61" s="24"/>
      <c r="D61" s="25"/>
      <c r="E61" s="24"/>
      <c r="F61" s="25"/>
      <c r="G61" s="25"/>
      <c r="H61" s="4"/>
      <c r="I61" s="4"/>
      <c r="J61" s="105"/>
      <c r="K61" s="148">
        <v>684</v>
      </c>
      <c r="L61" s="149">
        <v>2.1000000000000001</v>
      </c>
      <c r="M61" s="149"/>
      <c r="N61" s="32"/>
      <c r="O61" s="32" t="e">
        <f>#REF!/5</f>
        <v>#REF!</v>
      </c>
      <c r="P61" s="150"/>
      <c r="Q61" s="150"/>
      <c r="R61" s="150"/>
      <c r="S61" s="151"/>
      <c r="T61" s="151"/>
      <c r="U61" s="159"/>
      <c r="V61" s="93"/>
      <c r="W61" s="93"/>
      <c r="X61" s="149">
        <v>5.1900000000000004</v>
      </c>
      <c r="Y61" s="34">
        <v>2</v>
      </c>
      <c r="Z61" s="34">
        <f t="shared" si="5"/>
        <v>0.40000000000000002</v>
      </c>
      <c r="AA61" s="160"/>
      <c r="AB61" s="155"/>
      <c r="AC61" s="161"/>
      <c r="AD61" s="157"/>
      <c r="AE61" s="149">
        <v>23.219999999999999</v>
      </c>
      <c r="AF61" s="158">
        <v>5</v>
      </c>
      <c r="AG61" s="34">
        <f t="shared" si="6"/>
        <v>1</v>
      </c>
      <c r="AH61" s="4"/>
      <c r="AI61" s="4"/>
      <c r="AJ61" s="4"/>
      <c r="AK61" s="4"/>
      <c r="AL61" s="4"/>
      <c r="AM61" s="71" t="s">
        <v>33</v>
      </c>
      <c r="AN61" s="77" t="e">
        <f>#REF!</f>
        <v>#REF!</v>
      </c>
      <c r="AO61" s="77" t="e">
        <f>#REF!</f>
        <v>#REF!</v>
      </c>
      <c r="AP61" s="123"/>
    </row>
    <row r="62">
      <c r="A62" s="4"/>
      <c r="B62" s="4"/>
      <c r="C62" s="24"/>
      <c r="D62" s="25"/>
      <c r="E62" s="24"/>
      <c r="F62" s="25"/>
      <c r="G62" s="25"/>
      <c r="H62" s="4"/>
      <c r="I62" s="4"/>
      <c r="J62" s="105"/>
      <c r="K62" s="148">
        <v>682</v>
      </c>
      <c r="L62" s="149">
        <v>1.3700000000000001</v>
      </c>
      <c r="M62" s="149"/>
      <c r="N62" s="32"/>
      <c r="O62" s="32" t="e">
        <f>#REF!/5</f>
        <v>#REF!</v>
      </c>
      <c r="P62" s="150"/>
      <c r="Q62" s="150"/>
      <c r="R62" s="150"/>
      <c r="S62" s="151"/>
      <c r="T62" s="151"/>
      <c r="U62" s="159"/>
      <c r="V62" s="93"/>
      <c r="W62" s="93"/>
      <c r="X62" s="149">
        <v>5.4299999999999997</v>
      </c>
      <c r="Y62" s="34">
        <v>2</v>
      </c>
      <c r="Z62" s="34">
        <f t="shared" si="5"/>
        <v>0.40000000000000002</v>
      </c>
      <c r="AA62" s="160"/>
      <c r="AB62" s="155"/>
      <c r="AC62" s="161"/>
      <c r="AD62" s="157"/>
      <c r="AE62" s="149">
        <v>23.32</v>
      </c>
      <c r="AF62" s="158">
        <v>5</v>
      </c>
      <c r="AG62" s="34">
        <f t="shared" si="6"/>
        <v>1</v>
      </c>
      <c r="AH62" s="4"/>
      <c r="AI62" s="4"/>
      <c r="AJ62" s="4"/>
      <c r="AK62" s="4"/>
      <c r="AL62" s="4"/>
      <c r="AM62" s="63" t="s">
        <v>37</v>
      </c>
      <c r="AN62" s="77" t="e">
        <f>#REF!</f>
        <v>#REF!</v>
      </c>
      <c r="AO62" s="77"/>
      <c r="AP62" s="4"/>
    </row>
    <row r="63">
      <c r="A63" s="4"/>
      <c r="B63" s="4"/>
      <c r="C63" s="24"/>
      <c r="D63" s="25"/>
      <c r="E63" s="24"/>
      <c r="F63" s="25"/>
      <c r="G63" s="25"/>
      <c r="H63" s="4"/>
      <c r="I63" s="4"/>
      <c r="J63" s="105"/>
      <c r="K63" s="148">
        <v>680</v>
      </c>
      <c r="L63" s="149">
        <v>1.1100000000000001</v>
      </c>
      <c r="M63" s="149"/>
      <c r="N63" s="32"/>
      <c r="O63" s="32" t="e">
        <f>#REF!/5</f>
        <v>#REF!</v>
      </c>
      <c r="P63" s="150"/>
      <c r="Q63" s="150"/>
      <c r="R63" s="150"/>
      <c r="S63" s="151"/>
      <c r="T63" s="151"/>
      <c r="U63" s="159"/>
      <c r="V63" s="93"/>
      <c r="W63" s="93"/>
      <c r="X63" s="149">
        <v>5.5999999999999996</v>
      </c>
      <c r="Y63" s="34">
        <v>2</v>
      </c>
      <c r="Z63" s="34">
        <f t="shared" si="5"/>
        <v>0.40000000000000002</v>
      </c>
      <c r="AA63" s="160"/>
      <c r="AB63" s="155"/>
      <c r="AC63" s="161"/>
      <c r="AD63" s="157"/>
      <c r="AE63" s="149">
        <v>23.050000000000001</v>
      </c>
      <c r="AF63" s="158">
        <v>5</v>
      </c>
      <c r="AG63" s="34">
        <f t="shared" si="6"/>
        <v>1</v>
      </c>
      <c r="AH63" s="4"/>
      <c r="AI63" s="4"/>
      <c r="AJ63" s="4"/>
      <c r="AK63" s="4"/>
      <c r="AL63" s="4"/>
      <c r="AM63" s="63" t="s">
        <v>40</v>
      </c>
      <c r="AN63" s="80" t="e">
        <f>#REF!</f>
        <v>#REF!</v>
      </c>
      <c r="AO63" s="80"/>
      <c r="AP63" s="4"/>
    </row>
    <row r="64">
      <c r="A64" s="4"/>
      <c r="B64" s="4"/>
      <c r="C64" s="24"/>
      <c r="D64" s="25"/>
      <c r="E64" s="24"/>
      <c r="F64" s="25"/>
      <c r="G64" s="25"/>
      <c r="H64" s="4"/>
      <c r="I64" s="4"/>
      <c r="J64" s="167" t="s">
        <v>63</v>
      </c>
      <c r="K64" s="168">
        <v>678</v>
      </c>
      <c r="L64" s="149">
        <v>0.99199999999999999</v>
      </c>
      <c r="M64" s="149"/>
      <c r="N64" s="32"/>
      <c r="O64" s="32" t="e">
        <f>#REF!/5</f>
        <v>#REF!</v>
      </c>
      <c r="P64" s="150"/>
      <c r="Q64" s="150"/>
      <c r="R64" s="150"/>
      <c r="S64" s="151"/>
      <c r="T64" s="151"/>
      <c r="U64" s="159"/>
      <c r="V64" s="93"/>
      <c r="W64" s="93"/>
      <c r="X64" s="149">
        <v>5.7199999999999998</v>
      </c>
      <c r="Y64" s="34">
        <v>2</v>
      </c>
      <c r="Z64" s="34">
        <f t="shared" si="5"/>
        <v>0.40000000000000002</v>
      </c>
      <c r="AA64" s="160"/>
      <c r="AB64" s="155"/>
      <c r="AC64" s="161"/>
      <c r="AD64" s="157"/>
      <c r="AE64" s="34">
        <v>23.02</v>
      </c>
      <c r="AF64" s="158">
        <v>5</v>
      </c>
      <c r="AG64" s="34">
        <f t="shared" si="6"/>
        <v>1</v>
      </c>
      <c r="AH64" s="4"/>
      <c r="AI64" s="4"/>
      <c r="AJ64" s="4"/>
      <c r="AK64" s="4"/>
      <c r="AL64" s="4"/>
      <c r="AM64" s="4"/>
      <c r="AN64" s="4"/>
      <c r="AO64" s="4"/>
      <c r="AP64" s="4"/>
    </row>
    <row r="65">
      <c r="A65" s="4"/>
      <c r="B65" s="4"/>
      <c r="C65" s="24"/>
      <c r="D65" s="25"/>
      <c r="E65" s="24"/>
      <c r="F65" s="25"/>
      <c r="G65" s="25"/>
      <c r="H65" s="4"/>
      <c r="I65" s="4"/>
      <c r="J65" s="105"/>
      <c r="K65" s="148">
        <v>676</v>
      </c>
      <c r="L65" s="149">
        <v>0.96499999999999997</v>
      </c>
      <c r="M65" s="149"/>
      <c r="N65" s="32"/>
      <c r="O65" s="32" t="e">
        <f>#REF!/5</f>
        <v>#REF!</v>
      </c>
      <c r="P65" s="150"/>
      <c r="Q65" s="150"/>
      <c r="R65" s="150"/>
      <c r="S65" s="151"/>
      <c r="T65" s="151"/>
      <c r="U65" s="159"/>
      <c r="V65" s="93"/>
      <c r="W65" s="93"/>
      <c r="X65" s="149">
        <v>5.71</v>
      </c>
      <c r="Y65" s="34">
        <v>2</v>
      </c>
      <c r="Z65" s="34">
        <f t="shared" si="5"/>
        <v>0.40000000000000002</v>
      </c>
      <c r="AA65" s="160"/>
      <c r="AB65" s="155"/>
      <c r="AC65" s="161"/>
      <c r="AD65" s="157"/>
      <c r="AE65" s="34">
        <v>23.359999999999999</v>
      </c>
      <c r="AF65" s="158">
        <v>5</v>
      </c>
      <c r="AG65" s="34">
        <f t="shared" si="6"/>
        <v>1</v>
      </c>
      <c r="AH65" s="4"/>
      <c r="AI65" s="4"/>
      <c r="AJ65" s="4"/>
      <c r="AK65" s="4"/>
      <c r="AL65" s="4"/>
      <c r="AM65" s="90" t="s">
        <v>44</v>
      </c>
      <c r="AN65" s="163" t="s">
        <v>64</v>
      </c>
      <c r="AO65" s="164"/>
      <c r="AP65" s="51"/>
    </row>
    <row r="66">
      <c r="A66" s="4"/>
      <c r="B66" s="4"/>
      <c r="C66" s="24"/>
      <c r="D66" s="25"/>
      <c r="E66" s="24"/>
      <c r="F66" s="25"/>
      <c r="G66" s="25"/>
      <c r="H66" s="4"/>
      <c r="I66" s="4"/>
      <c r="J66" s="105"/>
      <c r="K66" s="148">
        <v>674</v>
      </c>
      <c r="L66" s="149">
        <v>0.95499999999999996</v>
      </c>
      <c r="M66" s="149"/>
      <c r="N66" s="32"/>
      <c r="O66" s="32" t="e">
        <f>#REF!/5</f>
        <v>#REF!</v>
      </c>
      <c r="P66" s="150"/>
      <c r="Q66" s="150"/>
      <c r="R66" s="150"/>
      <c r="S66" s="151"/>
      <c r="T66" s="151"/>
      <c r="U66" s="159"/>
      <c r="V66" s="93"/>
      <c r="W66" s="93"/>
      <c r="X66" s="149">
        <v>5.7000000000000002</v>
      </c>
      <c r="Y66" s="34">
        <v>2</v>
      </c>
      <c r="Z66" s="34">
        <f t="shared" si="5"/>
        <v>0.40000000000000002</v>
      </c>
      <c r="AA66" s="160"/>
      <c r="AB66" s="155"/>
      <c r="AC66" s="161"/>
      <c r="AD66" s="157"/>
      <c r="AE66" s="34">
        <v>23.050000000000001</v>
      </c>
      <c r="AF66" s="158">
        <v>5</v>
      </c>
      <c r="AG66" s="34">
        <f t="shared" si="6"/>
        <v>1</v>
      </c>
      <c r="AH66" s="4"/>
      <c r="AI66" s="4"/>
      <c r="AJ66" s="4"/>
      <c r="AK66" s="4"/>
      <c r="AL66" s="4"/>
      <c r="AM66" s="4"/>
      <c r="AN66" s="4"/>
      <c r="AO66" s="4"/>
      <c r="AP66" s="4"/>
    </row>
    <row r="67">
      <c r="A67" s="4"/>
      <c r="B67" s="4"/>
      <c r="C67" s="24"/>
      <c r="D67" s="25"/>
      <c r="E67" s="24"/>
      <c r="F67" s="25"/>
      <c r="G67" s="25"/>
      <c r="H67" s="4"/>
      <c r="I67" s="4"/>
      <c r="J67" s="105"/>
      <c r="K67" s="148">
        <v>672</v>
      </c>
      <c r="L67" s="149">
        <v>0.93899999999999995</v>
      </c>
      <c r="M67" s="149"/>
      <c r="N67" s="32"/>
      <c r="O67" s="32" t="e">
        <f>#REF!/5</f>
        <v>#REF!</v>
      </c>
      <c r="P67" s="150"/>
      <c r="Q67" s="150"/>
      <c r="R67" s="150"/>
      <c r="S67" s="151"/>
      <c r="T67" s="151"/>
      <c r="U67" s="159"/>
      <c r="V67" s="93"/>
      <c r="W67" s="93"/>
      <c r="X67" s="149">
        <v>5.7800000000000002</v>
      </c>
      <c r="Y67" s="34">
        <v>2</v>
      </c>
      <c r="Z67" s="34">
        <f t="shared" si="5"/>
        <v>0.40000000000000002</v>
      </c>
      <c r="AA67" s="160"/>
      <c r="AB67" s="155"/>
      <c r="AC67" s="161"/>
      <c r="AD67" s="157"/>
      <c r="AE67" s="34">
        <v>22.989999999999998</v>
      </c>
      <c r="AF67" s="158">
        <v>5</v>
      </c>
      <c r="AG67" s="34">
        <f t="shared" si="6"/>
        <v>1</v>
      </c>
      <c r="AH67" s="4"/>
      <c r="AI67" s="4"/>
      <c r="AJ67" s="4"/>
      <c r="AK67" s="4"/>
      <c r="AL67" s="4"/>
      <c r="AM67" s="4"/>
      <c r="AN67" s="4"/>
      <c r="AO67" s="4"/>
      <c r="AP67" s="4"/>
    </row>
    <row r="68">
      <c r="A68" s="4"/>
      <c r="B68" s="4"/>
      <c r="C68" s="24"/>
      <c r="D68" s="25"/>
      <c r="E68" s="24"/>
      <c r="F68" s="25"/>
      <c r="G68" s="25"/>
      <c r="H68" s="4"/>
      <c r="I68" s="4"/>
      <c r="J68" s="105"/>
      <c r="K68" s="148">
        <v>670</v>
      </c>
      <c r="L68" s="149">
        <v>0.93200000000000005</v>
      </c>
      <c r="M68" s="149"/>
      <c r="N68" s="32"/>
      <c r="O68" s="32" t="e">
        <f>#REF!/5</f>
        <v>#REF!</v>
      </c>
      <c r="P68" s="150"/>
      <c r="Q68" s="150"/>
      <c r="R68" s="150"/>
      <c r="S68" s="151"/>
      <c r="T68" s="151"/>
      <c r="U68" s="159"/>
      <c r="V68" s="93"/>
      <c r="W68" s="93"/>
      <c r="X68" s="149">
        <v>5.5899999999999999</v>
      </c>
      <c r="Y68" s="34">
        <v>2</v>
      </c>
      <c r="Z68" s="34">
        <f t="shared" si="5"/>
        <v>0.40000000000000002</v>
      </c>
      <c r="AA68" s="160"/>
      <c r="AB68" s="155"/>
      <c r="AC68" s="161"/>
      <c r="AD68" s="157"/>
      <c r="AE68" s="34">
        <v>22.809999999999999</v>
      </c>
      <c r="AF68" s="158">
        <v>5</v>
      </c>
      <c r="AG68" s="34">
        <f t="shared" si="6"/>
        <v>1</v>
      </c>
      <c r="AH68" s="4"/>
      <c r="AI68" s="4"/>
      <c r="AJ68" s="4"/>
      <c r="AK68" s="4"/>
      <c r="AL68" s="4"/>
      <c r="AM68" s="4"/>
      <c r="AN68" s="4"/>
      <c r="AO68" s="4"/>
      <c r="AP68" s="4"/>
    </row>
    <row r="69">
      <c r="A69" s="4"/>
      <c r="B69" s="4"/>
      <c r="C69" s="24"/>
      <c r="D69" s="25"/>
      <c r="E69" s="24"/>
      <c r="F69" s="25"/>
      <c r="G69" s="25"/>
      <c r="H69" s="4"/>
      <c r="I69" s="4"/>
      <c r="J69" s="105"/>
      <c r="K69" s="148">
        <v>660</v>
      </c>
      <c r="L69" s="149">
        <v>0.93899999999999995</v>
      </c>
      <c r="M69" s="149"/>
      <c r="N69" s="32"/>
      <c r="O69" s="32" t="e">
        <f>#REF!/5</f>
        <v>#REF!</v>
      </c>
      <c r="P69" s="150"/>
      <c r="Q69" s="150"/>
      <c r="R69" s="150"/>
      <c r="S69" s="151"/>
      <c r="T69" s="151"/>
      <c r="U69" s="159"/>
      <c r="V69" s="93"/>
      <c r="W69" s="93"/>
      <c r="X69" s="149">
        <v>4.9500000000000002</v>
      </c>
      <c r="Y69" s="34">
        <v>2</v>
      </c>
      <c r="Z69" s="34">
        <f t="shared" si="5"/>
        <v>0.40000000000000002</v>
      </c>
      <c r="AA69" s="160"/>
      <c r="AB69" s="155"/>
      <c r="AC69" s="161"/>
      <c r="AD69" s="157"/>
      <c r="AE69" s="34">
        <v>21.510000000000002</v>
      </c>
      <c r="AF69" s="158">
        <v>5</v>
      </c>
      <c r="AG69" s="34">
        <f t="shared" si="6"/>
        <v>1</v>
      </c>
      <c r="AH69" s="4"/>
      <c r="AI69" s="4"/>
      <c r="AJ69" s="4"/>
      <c r="AK69" s="4"/>
      <c r="AL69" s="4"/>
      <c r="AM69" s="4"/>
      <c r="AN69" s="4"/>
      <c r="AO69" s="4"/>
      <c r="AP69" s="4"/>
    </row>
    <row r="70">
      <c r="A70" s="4"/>
      <c r="B70" s="4"/>
      <c r="C70" s="24"/>
      <c r="D70" s="25"/>
      <c r="E70" s="24"/>
      <c r="F70" s="25"/>
      <c r="G70" s="25"/>
      <c r="H70" s="4"/>
      <c r="I70" s="4"/>
      <c r="J70" s="105"/>
      <c r="K70" s="148">
        <v>650</v>
      </c>
      <c r="L70" s="149">
        <v>0.94399999999999995</v>
      </c>
      <c r="M70" s="149"/>
      <c r="N70" s="32"/>
      <c r="O70" s="32" t="e">
        <f>#REF!/5</f>
        <v>#REF!</v>
      </c>
      <c r="P70" s="150"/>
      <c r="Q70" s="150"/>
      <c r="R70" s="150"/>
      <c r="S70" s="151"/>
      <c r="T70" s="151"/>
      <c r="U70" s="159"/>
      <c r="V70" s="93"/>
      <c r="W70" s="93"/>
      <c r="X70" s="149">
        <v>4.5899999999999999</v>
      </c>
      <c r="Y70" s="34">
        <v>2</v>
      </c>
      <c r="Z70" s="34">
        <f t="shared" si="5"/>
        <v>0.40000000000000002</v>
      </c>
      <c r="AA70" s="160"/>
      <c r="AB70" s="155"/>
      <c r="AC70" s="161"/>
      <c r="AD70" s="157"/>
      <c r="AE70" s="34">
        <v>19.84</v>
      </c>
      <c r="AF70" s="158">
        <v>5</v>
      </c>
      <c r="AG70" s="34">
        <f t="shared" si="6"/>
        <v>1</v>
      </c>
      <c r="AH70" s="4"/>
      <c r="AI70" s="4"/>
      <c r="AJ70" s="4"/>
      <c r="AK70" s="4"/>
      <c r="AL70" s="4"/>
      <c r="AM70" s="4"/>
      <c r="AN70" s="4"/>
      <c r="AO70" s="4"/>
      <c r="AP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148">
        <v>640</v>
      </c>
      <c r="L71" s="149">
        <v>0.92900000000000005</v>
      </c>
      <c r="M71" s="149"/>
      <c r="N71" s="32"/>
      <c r="O71" s="32" t="e">
        <f>#REF!/5</f>
        <v>#REF!</v>
      </c>
      <c r="P71" s="150"/>
      <c r="Q71" s="150"/>
      <c r="R71" s="150"/>
      <c r="S71" s="151"/>
      <c r="T71" s="151"/>
      <c r="U71" s="159"/>
      <c r="V71" s="93"/>
      <c r="W71" s="93"/>
      <c r="X71" s="149">
        <v>4.2699999999999996</v>
      </c>
      <c r="Y71" s="34">
        <v>2</v>
      </c>
      <c r="Z71" s="34">
        <f t="shared" si="5"/>
        <v>0.40000000000000002</v>
      </c>
      <c r="AA71" s="160"/>
      <c r="AB71" s="155"/>
      <c r="AC71" s="161"/>
      <c r="AD71" s="157"/>
      <c r="AE71" s="34">
        <v>18.390000000000001</v>
      </c>
      <c r="AF71" s="158">
        <v>5</v>
      </c>
      <c r="AG71" s="34">
        <f t="shared" si="6"/>
        <v>1</v>
      </c>
      <c r="AH71" s="4"/>
      <c r="AI71" s="4"/>
      <c r="AJ71" s="4"/>
      <c r="AK71" s="4"/>
      <c r="AL71" s="4"/>
      <c r="AM71" s="4"/>
      <c r="AN71" s="4"/>
      <c r="AO71" s="4"/>
      <c r="AP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148">
        <v>630</v>
      </c>
      <c r="L72" s="149">
        <v>0.93200000000000005</v>
      </c>
      <c r="M72" s="149"/>
      <c r="N72" s="32"/>
      <c r="O72" s="32" t="e">
        <f>#REF!/5</f>
        <v>#REF!</v>
      </c>
      <c r="P72" s="150"/>
      <c r="Q72" s="150"/>
      <c r="R72" s="150"/>
      <c r="S72" s="151"/>
      <c r="T72" s="151"/>
      <c r="U72" s="159"/>
      <c r="V72" s="93"/>
      <c r="W72" s="93"/>
      <c r="X72" s="149">
        <v>3.98</v>
      </c>
      <c r="Y72" s="34">
        <v>2</v>
      </c>
      <c r="Z72" s="34">
        <f t="shared" si="5"/>
        <v>0.40000000000000002</v>
      </c>
      <c r="AA72" s="160"/>
      <c r="AB72" s="155"/>
      <c r="AC72" s="161"/>
      <c r="AD72" s="157"/>
      <c r="AE72" s="34">
        <v>16.82</v>
      </c>
      <c r="AF72" s="158">
        <v>5</v>
      </c>
      <c r="AG72" s="34">
        <f t="shared" si="6"/>
        <v>1</v>
      </c>
      <c r="AH72" s="4"/>
      <c r="AI72" s="4"/>
      <c r="AJ72" s="4"/>
      <c r="AK72" s="4"/>
      <c r="AL72" s="4"/>
      <c r="AM72" s="4"/>
      <c r="AN72" s="4"/>
      <c r="AO72" s="4"/>
      <c r="AP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148">
        <v>620</v>
      </c>
      <c r="L73" s="149">
        <v>0.92800000000000005</v>
      </c>
      <c r="M73" s="149"/>
      <c r="N73" s="32"/>
      <c r="O73" s="32" t="e">
        <f>#REF!/5</f>
        <v>#REF!</v>
      </c>
      <c r="P73" s="150"/>
      <c r="Q73" s="150"/>
      <c r="R73" s="150"/>
      <c r="S73" s="151"/>
      <c r="T73" s="151"/>
      <c r="U73" s="159"/>
      <c r="V73" s="93"/>
      <c r="W73" s="93"/>
      <c r="X73" s="149">
        <v>3.73</v>
      </c>
      <c r="Y73" s="34">
        <v>2</v>
      </c>
      <c r="Z73" s="34">
        <f t="shared" si="5"/>
        <v>0.40000000000000002</v>
      </c>
      <c r="AA73" s="160"/>
      <c r="AB73" s="155"/>
      <c r="AC73" s="161"/>
      <c r="AD73" s="157"/>
      <c r="AE73" s="34">
        <v>16.280000000000001</v>
      </c>
      <c r="AF73" s="158">
        <v>5</v>
      </c>
      <c r="AG73" s="34">
        <f t="shared" si="6"/>
        <v>1</v>
      </c>
      <c r="AH73" s="4"/>
      <c r="AI73" s="4"/>
      <c r="AJ73" s="4"/>
      <c r="AK73" s="4"/>
      <c r="AL73" s="4"/>
      <c r="AM73" s="4"/>
      <c r="AN73" s="4"/>
      <c r="AO73" s="4"/>
      <c r="AP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148">
        <v>610</v>
      </c>
      <c r="L74" s="149">
        <v>0.94099999999999995</v>
      </c>
      <c r="M74" s="149"/>
      <c r="N74" s="32"/>
      <c r="O74" s="32" t="e">
        <f>#REF!/5</f>
        <v>#REF!</v>
      </c>
      <c r="P74" s="150"/>
      <c r="Q74" s="150"/>
      <c r="R74" s="150"/>
      <c r="S74" s="151"/>
      <c r="T74" s="169"/>
      <c r="U74" s="170"/>
      <c r="V74" s="171"/>
      <c r="W74" s="171"/>
      <c r="X74" s="149">
        <v>3.8500000000000001</v>
      </c>
      <c r="Y74" s="34">
        <v>2</v>
      </c>
      <c r="Z74" s="34">
        <f t="shared" si="5"/>
        <v>0.40000000000000002</v>
      </c>
      <c r="AA74" s="160"/>
      <c r="AB74" s="155"/>
      <c r="AC74" s="172"/>
      <c r="AD74" s="173"/>
      <c r="AE74" s="34">
        <v>15.91</v>
      </c>
      <c r="AF74" s="158">
        <v>5</v>
      </c>
      <c r="AG74" s="34">
        <f t="shared" si="6"/>
        <v>1</v>
      </c>
      <c r="AH74" s="4"/>
      <c r="AI74" s="4"/>
      <c r="AJ74" s="4"/>
      <c r="AK74" s="4"/>
      <c r="AL74" s="4"/>
      <c r="AM74" s="4"/>
      <c r="AN74" s="4"/>
      <c r="AO74" s="4"/>
      <c r="AP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174">
        <v>600</v>
      </c>
      <c r="L75" s="175">
        <v>0.94299999999999995</v>
      </c>
      <c r="M75" s="175"/>
      <c r="N75" s="176"/>
      <c r="O75" s="176" t="e">
        <f>#REF!/5</f>
        <v>#REF!</v>
      </c>
      <c r="P75" s="177"/>
      <c r="Q75" s="177"/>
      <c r="R75" s="177"/>
      <c r="S75" s="151"/>
      <c r="T75" s="56"/>
      <c r="U75" s="4"/>
      <c r="V75" s="4"/>
      <c r="W75" s="4"/>
      <c r="X75" s="175">
        <v>3.5499999999999998</v>
      </c>
      <c r="Y75" s="113">
        <v>2</v>
      </c>
      <c r="Z75" s="113">
        <f t="shared" si="5"/>
        <v>0.40000000000000002</v>
      </c>
      <c r="AA75" s="56"/>
      <c r="AB75" s="138"/>
      <c r="AC75" s="4"/>
      <c r="AD75" s="4"/>
      <c r="AE75" s="113">
        <v>15.85</v>
      </c>
      <c r="AF75" s="178">
        <v>5</v>
      </c>
      <c r="AG75" s="113">
        <f t="shared" si="6"/>
        <v>1</v>
      </c>
      <c r="AH75" s="4"/>
      <c r="AI75" s="4"/>
      <c r="AJ75" s="4"/>
      <c r="AK75" s="4"/>
      <c r="AL75" s="4"/>
      <c r="AM75" s="4"/>
      <c r="AN75" s="4"/>
      <c r="AO75" s="4"/>
      <c r="AP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>
      <c r="A80" s="4"/>
      <c r="B80" s="4"/>
      <c r="C80" s="24"/>
      <c r="D80" s="25"/>
      <c r="E80" s="25"/>
      <c r="F80" s="25"/>
      <c r="G80" s="24"/>
      <c r="H80" s="25"/>
      <c r="I80" s="25"/>
      <c r="J80" s="25"/>
      <c r="K80" s="26"/>
      <c r="L80" s="105"/>
      <c r="M80" s="105"/>
      <c r="N80" s="105"/>
      <c r="O80" s="4"/>
      <c r="P80" s="105"/>
      <c r="Q80" s="105"/>
      <c r="R80" s="26"/>
      <c r="S80" s="26"/>
      <c r="T80" s="4"/>
      <c r="U80" s="4"/>
      <c r="V80" s="4"/>
      <c r="W80" s="26"/>
      <c r="X80" s="179"/>
      <c r="Y80" s="179"/>
      <c r="Z80" s="26"/>
      <c r="AA80" s="116"/>
      <c r="AB80" s="4"/>
      <c r="AC80" s="4"/>
      <c r="AD80" s="4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</row>
    <row r="81">
      <c r="A81" s="4"/>
      <c r="B81" s="4"/>
      <c r="C81" s="24"/>
      <c r="D81" s="25"/>
      <c r="E81" s="25"/>
      <c r="F81" s="25"/>
      <c r="G81" s="24"/>
      <c r="H81" s="25"/>
      <c r="I81" s="25"/>
      <c r="J81" s="25"/>
      <c r="K81" s="26"/>
      <c r="L81" s="105"/>
      <c r="M81" s="105"/>
      <c r="N81" s="105"/>
      <c r="O81" s="4"/>
      <c r="P81" s="105"/>
      <c r="Q81" s="105"/>
      <c r="R81" s="26"/>
      <c r="S81" s="26"/>
      <c r="T81" s="4"/>
      <c r="U81" s="4"/>
      <c r="V81" s="4"/>
      <c r="W81" s="26"/>
      <c r="X81" s="179"/>
      <c r="Y81" s="179"/>
      <c r="Z81" s="26"/>
      <c r="AA81" s="116"/>
      <c r="AB81" s="4"/>
      <c r="AC81" s="4"/>
      <c r="AD81" s="4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</row>
    <row r="82">
      <c r="A82" s="4"/>
      <c r="B82" s="4"/>
      <c r="C82" s="24"/>
      <c r="D82" s="25"/>
      <c r="E82" s="25"/>
      <c r="F82" s="25"/>
      <c r="G82" s="24"/>
      <c r="H82" s="25"/>
      <c r="I82" s="25"/>
      <c r="J82" s="25"/>
      <c r="K82" s="26"/>
      <c r="L82" s="105"/>
      <c r="M82" s="105"/>
      <c r="N82" s="105"/>
      <c r="O82" s="4"/>
      <c r="P82" s="105"/>
      <c r="Q82" s="105"/>
      <c r="R82" s="26"/>
      <c r="S82" s="26"/>
      <c r="T82" s="4"/>
      <c r="U82" s="4"/>
      <c r="V82" s="4"/>
      <c r="W82" s="26"/>
      <c r="X82" s="179"/>
      <c r="Y82" s="179"/>
      <c r="Z82" s="26"/>
      <c r="AA82" s="116"/>
      <c r="AB82" s="4"/>
      <c r="AC82" s="4"/>
      <c r="AD82" s="4"/>
      <c r="AE82" s="123"/>
      <c r="AF82" s="123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>
      <c r="A83" s="4"/>
      <c r="B83" s="4"/>
      <c r="C83" s="24"/>
      <c r="D83" s="25"/>
      <c r="E83" s="25"/>
      <c r="F83" s="25"/>
      <c r="G83" s="24"/>
      <c r="H83" s="25"/>
      <c r="I83" s="25"/>
      <c r="J83" s="25"/>
      <c r="K83" s="26"/>
      <c r="L83" s="105"/>
      <c r="M83" s="105"/>
      <c r="N83" s="105"/>
      <c r="O83" s="4"/>
      <c r="P83" s="105"/>
      <c r="Q83" s="105"/>
      <c r="R83" s="26"/>
      <c r="S83" s="26"/>
      <c r="T83" s="4"/>
      <c r="U83" s="4"/>
      <c r="V83" s="4"/>
      <c r="W83" s="26"/>
      <c r="X83" s="179"/>
      <c r="Y83" s="179"/>
      <c r="Z83" s="26"/>
      <c r="AA83" s="116"/>
      <c r="AB83" s="4"/>
      <c r="AC83" s="4"/>
      <c r="AD83" s="4"/>
      <c r="AE83" s="123"/>
      <c r="AF83" s="123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>
      <c r="A84" s="4"/>
      <c r="B84" s="4"/>
      <c r="C84" s="24"/>
      <c r="D84" s="25"/>
      <c r="E84" s="25"/>
      <c r="F84" s="25"/>
      <c r="G84" s="24"/>
      <c r="H84" s="25"/>
      <c r="I84" s="25"/>
      <c r="J84" s="25"/>
      <c r="K84" s="26"/>
      <c r="L84" s="105"/>
      <c r="M84" s="105"/>
      <c r="N84" s="105"/>
      <c r="O84" s="4"/>
      <c r="P84" s="105"/>
      <c r="Q84" s="105"/>
      <c r="R84" s="26"/>
      <c r="S84" s="26"/>
      <c r="T84" s="4"/>
      <c r="U84" s="4"/>
      <c r="V84" s="4"/>
      <c r="W84" s="26"/>
      <c r="X84" s="179"/>
      <c r="Y84" s="179"/>
      <c r="Z84" s="26"/>
      <c r="AA84" s="116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>
      <c r="A85" s="4"/>
      <c r="B85" s="4"/>
      <c r="C85" s="24"/>
      <c r="D85" s="25"/>
      <c r="E85" s="25"/>
      <c r="F85" s="25"/>
      <c r="G85" s="24"/>
      <c r="H85" s="25"/>
      <c r="I85" s="25"/>
      <c r="J85" s="25"/>
      <c r="K85" s="26"/>
      <c r="L85" s="105"/>
      <c r="M85" s="105"/>
      <c r="N85" s="105"/>
      <c r="O85" s="4"/>
      <c r="P85" s="105"/>
      <c r="Q85" s="105"/>
      <c r="R85" s="26"/>
      <c r="S85" s="26"/>
      <c r="T85" s="4"/>
      <c r="U85" s="4"/>
      <c r="V85" s="4"/>
      <c r="W85" s="26"/>
      <c r="X85" s="179"/>
      <c r="Y85" s="179"/>
      <c r="Z85" s="26"/>
      <c r="AA85" s="116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>
      <c r="A86" s="4"/>
      <c r="B86" s="4"/>
      <c r="C86" s="24"/>
      <c r="D86" s="25"/>
      <c r="E86" s="25"/>
      <c r="F86" s="25"/>
      <c r="G86" s="24"/>
      <c r="H86" s="25"/>
      <c r="I86" s="25"/>
      <c r="J86" s="25"/>
      <c r="K86" s="26"/>
      <c r="L86" s="105"/>
      <c r="M86" s="105"/>
      <c r="N86" s="105"/>
      <c r="O86" s="4"/>
      <c r="P86" s="105"/>
      <c r="Q86" s="105"/>
      <c r="R86" s="26"/>
      <c r="S86" s="26"/>
      <c r="T86" s="4"/>
      <c r="U86" s="4"/>
      <c r="V86" s="4"/>
      <c r="W86" s="26"/>
      <c r="X86" s="179"/>
      <c r="Y86" s="179"/>
      <c r="Z86" s="26"/>
      <c r="AA86" s="116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>
      <c r="A87" s="4"/>
      <c r="B87" s="4"/>
      <c r="C87" s="24"/>
      <c r="D87" s="25"/>
      <c r="E87" s="25"/>
      <c r="F87" s="25"/>
      <c r="G87" s="24"/>
      <c r="H87" s="25"/>
      <c r="I87" s="25"/>
      <c r="J87" s="25"/>
      <c r="K87" s="26"/>
      <c r="L87" s="105"/>
      <c r="M87" s="105"/>
      <c r="N87" s="105"/>
      <c r="O87" s="4"/>
      <c r="P87" s="105"/>
      <c r="Q87" s="105"/>
      <c r="R87" s="26"/>
      <c r="S87" s="26"/>
      <c r="T87" s="4"/>
      <c r="U87" s="4"/>
      <c r="V87" s="4"/>
      <c r="W87" s="26"/>
      <c r="X87" s="179"/>
      <c r="Y87" s="179"/>
      <c r="Z87" s="26"/>
      <c r="AA87" s="116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>
      <c r="A88" s="4"/>
      <c r="B88" s="4"/>
      <c r="C88" s="24"/>
      <c r="D88" s="25"/>
      <c r="E88" s="25"/>
      <c r="F88" s="25"/>
      <c r="G88" s="24"/>
      <c r="H88" s="25"/>
      <c r="I88" s="25"/>
      <c r="J88" s="25"/>
      <c r="K88" s="26"/>
      <c r="L88" s="105"/>
      <c r="M88" s="105"/>
      <c r="N88" s="105"/>
      <c r="O88" s="4"/>
      <c r="P88" s="105"/>
      <c r="Q88" s="105"/>
      <c r="R88" s="26"/>
      <c r="S88" s="26"/>
      <c r="T88" s="4"/>
      <c r="U88" s="4"/>
      <c r="V88" s="4"/>
      <c r="W88" s="26"/>
      <c r="X88" s="179"/>
      <c r="Y88" s="179"/>
      <c r="Z88" s="26"/>
      <c r="AA88" s="116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>
      <c r="A89" s="4"/>
      <c r="B89" s="4"/>
      <c r="C89" s="24"/>
      <c r="D89" s="25"/>
      <c r="E89" s="25"/>
      <c r="F89" s="25"/>
      <c r="G89" s="24"/>
      <c r="H89" s="25"/>
      <c r="I89" s="25"/>
      <c r="J89" s="25"/>
      <c r="K89" s="26"/>
      <c r="L89" s="105"/>
      <c r="M89" s="105"/>
      <c r="N89" s="105"/>
      <c r="O89" s="4"/>
      <c r="P89" s="105"/>
      <c r="Q89" s="105"/>
      <c r="R89" s="26"/>
      <c r="S89" s="26"/>
      <c r="T89" s="4"/>
      <c r="U89" s="4"/>
      <c r="V89" s="4"/>
      <c r="W89" s="26"/>
      <c r="X89" s="179"/>
      <c r="Y89" s="179"/>
      <c r="Z89" s="26"/>
      <c r="AA89" s="116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>
      <c r="A90" s="4"/>
      <c r="B90" s="4"/>
      <c r="C90" s="24"/>
      <c r="D90" s="25"/>
      <c r="E90" s="25"/>
      <c r="F90" s="25"/>
      <c r="G90" s="24"/>
      <c r="H90" s="25"/>
      <c r="I90" s="25"/>
      <c r="J90" s="25"/>
      <c r="K90" s="26"/>
      <c r="L90" s="105"/>
      <c r="M90" s="105"/>
      <c r="N90" s="105"/>
      <c r="O90" s="4"/>
      <c r="P90" s="105"/>
      <c r="Q90" s="105"/>
      <c r="R90" s="26"/>
      <c r="S90" s="26"/>
      <c r="T90" s="4"/>
      <c r="U90" s="4"/>
      <c r="V90" s="4"/>
      <c r="W90" s="26"/>
      <c r="X90" s="179"/>
      <c r="Y90" s="179"/>
      <c r="Z90" s="26"/>
      <c r="AA90" s="116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>
      <c r="A91" s="4"/>
      <c r="B91" s="4"/>
      <c r="C91" s="24"/>
      <c r="D91" s="25"/>
      <c r="E91" s="25"/>
      <c r="F91" s="25"/>
      <c r="G91" s="24"/>
      <c r="H91" s="25"/>
      <c r="I91" s="25"/>
      <c r="J91" s="25"/>
      <c r="K91" s="26"/>
      <c r="L91" s="105"/>
      <c r="M91" s="105"/>
      <c r="N91" s="105"/>
      <c r="O91" s="4"/>
      <c r="P91" s="105"/>
      <c r="Q91" s="105"/>
      <c r="R91" s="26"/>
      <c r="S91" s="26"/>
      <c r="T91" s="4"/>
      <c r="U91" s="4"/>
      <c r="V91" s="4"/>
      <c r="W91" s="26"/>
      <c r="X91" s="179"/>
      <c r="Y91" s="179"/>
      <c r="Z91" s="26"/>
      <c r="AA91" s="116"/>
      <c r="AB91" s="4"/>
      <c r="AC91" s="4"/>
      <c r="AD91" s="4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</row>
    <row r="92">
      <c r="A92" s="4"/>
      <c r="B92" s="4"/>
      <c r="C92" s="24"/>
      <c r="D92" s="25"/>
      <c r="E92" s="25"/>
      <c r="F92" s="25"/>
      <c r="G92" s="24"/>
      <c r="H92" s="25"/>
      <c r="I92" s="25"/>
      <c r="J92" s="25"/>
      <c r="K92" s="26"/>
      <c r="L92" s="105"/>
      <c r="M92" s="105"/>
      <c r="N92" s="105"/>
      <c r="O92" s="4"/>
      <c r="P92" s="105"/>
      <c r="Q92" s="105"/>
      <c r="R92" s="26"/>
      <c r="S92" s="26"/>
      <c r="T92" s="4"/>
      <c r="U92" s="4"/>
      <c r="V92" s="4"/>
      <c r="W92" s="26"/>
      <c r="X92" s="179"/>
      <c r="Y92" s="179"/>
      <c r="Z92" s="26"/>
      <c r="AA92" s="116"/>
      <c r="AB92" s="4"/>
      <c r="AC92" s="4"/>
      <c r="AD92" s="4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</row>
    <row r="93">
      <c r="A93" s="4"/>
      <c r="B93" s="4"/>
      <c r="C93" s="24"/>
      <c r="D93" s="25"/>
      <c r="E93" s="25"/>
      <c r="F93" s="25"/>
      <c r="G93" s="24"/>
      <c r="H93" s="25"/>
      <c r="I93" s="25"/>
      <c r="J93" s="25"/>
      <c r="K93" s="26"/>
      <c r="L93" s="105"/>
      <c r="M93" s="105"/>
      <c r="N93" s="105"/>
      <c r="O93" s="4"/>
      <c r="P93" s="105"/>
      <c r="Q93" s="105"/>
      <c r="R93" s="26"/>
      <c r="S93" s="26"/>
      <c r="T93" s="4"/>
      <c r="U93" s="4"/>
      <c r="V93" s="4"/>
      <c r="W93" s="26"/>
      <c r="X93" s="179"/>
      <c r="Y93" s="179"/>
      <c r="Z93" s="26"/>
      <c r="AA93" s="116"/>
      <c r="AB93" s="4"/>
      <c r="AC93" s="4"/>
      <c r="AD93" s="4"/>
      <c r="AE93" s="123"/>
      <c r="AF93" s="123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>
      <c r="A94" s="4"/>
      <c r="B94" s="4"/>
      <c r="C94" s="24"/>
      <c r="D94" s="25"/>
      <c r="E94" s="25"/>
      <c r="F94" s="25"/>
      <c r="G94" s="24"/>
      <c r="H94" s="25"/>
      <c r="I94" s="25"/>
      <c r="J94" s="25"/>
      <c r="K94" s="26"/>
      <c r="L94" s="105"/>
      <c r="M94" s="105"/>
      <c r="N94" s="105"/>
      <c r="O94" s="4"/>
      <c r="P94" s="105"/>
      <c r="Q94" s="105"/>
      <c r="R94" s="26"/>
      <c r="S94" s="26"/>
      <c r="T94" s="4"/>
      <c r="U94" s="4"/>
      <c r="V94" s="4"/>
      <c r="W94" s="26"/>
      <c r="X94" s="179"/>
      <c r="Y94" s="179"/>
      <c r="Z94" s="26"/>
      <c r="AA94" s="116"/>
      <c r="AB94" s="4"/>
      <c r="AC94" s="4"/>
      <c r="AD94" s="4"/>
      <c r="AE94" s="123"/>
      <c r="AF94" s="123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>
      <c r="A95" s="4"/>
      <c r="B95" s="4"/>
      <c r="C95" s="24"/>
      <c r="D95" s="25"/>
      <c r="E95" s="25"/>
      <c r="F95" s="25"/>
      <c r="G95" s="24"/>
      <c r="H95" s="25"/>
      <c r="I95" s="25"/>
      <c r="J95" s="25"/>
      <c r="K95" s="25"/>
      <c r="L95" s="105"/>
      <c r="M95" s="105"/>
      <c r="N95" s="105"/>
      <c r="O95" s="4"/>
      <c r="P95" s="105"/>
      <c r="Q95" s="105"/>
      <c r="R95" s="26"/>
      <c r="S95" s="26"/>
      <c r="T95" s="4"/>
      <c r="U95" s="4"/>
      <c r="V95" s="4"/>
      <c r="W95" s="26"/>
      <c r="X95" s="179"/>
      <c r="Y95" s="179"/>
      <c r="Z95" s="4"/>
      <c r="AA95" s="116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>
      <c r="A96" s="4"/>
      <c r="B96" s="4"/>
      <c r="C96" s="24"/>
      <c r="D96" s="25"/>
      <c r="E96" s="25"/>
      <c r="F96" s="25"/>
      <c r="G96" s="24"/>
      <c r="H96" s="25"/>
      <c r="I96" s="25"/>
      <c r="J96" s="25"/>
      <c r="K96" s="25"/>
      <c r="L96" s="105"/>
      <c r="M96" s="105"/>
      <c r="N96" s="105"/>
      <c r="O96" s="4"/>
      <c r="P96" s="105"/>
      <c r="Q96" s="105"/>
      <c r="R96" s="26"/>
      <c r="S96" s="26"/>
      <c r="T96" s="4"/>
      <c r="U96" s="4"/>
      <c r="V96" s="4"/>
      <c r="W96" s="26"/>
      <c r="X96" s="179"/>
      <c r="Y96" s="179"/>
      <c r="Z96" s="4"/>
      <c r="AA96" s="116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>
      <c r="A97" s="4"/>
      <c r="B97" s="4"/>
      <c r="C97" s="24"/>
      <c r="D97" s="25"/>
      <c r="E97" s="25"/>
      <c r="F97" s="25"/>
      <c r="G97" s="24"/>
      <c r="H97" s="25"/>
      <c r="I97" s="25"/>
      <c r="J97" s="25"/>
      <c r="K97" s="25"/>
      <c r="L97" s="105"/>
      <c r="M97" s="105"/>
      <c r="N97" s="105"/>
      <c r="O97" s="4"/>
      <c r="P97" s="105"/>
      <c r="Q97" s="105"/>
      <c r="R97" s="26"/>
      <c r="S97" s="26"/>
      <c r="T97" s="4"/>
      <c r="U97" s="4"/>
      <c r="V97" s="4"/>
      <c r="W97" s="26"/>
      <c r="X97" s="179"/>
      <c r="Y97" s="179"/>
      <c r="Z97" s="4"/>
      <c r="AA97" s="116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>
      <c r="A98" s="4"/>
      <c r="B98" s="4"/>
      <c r="C98" s="24"/>
      <c r="D98" s="25"/>
      <c r="E98" s="25"/>
      <c r="F98" s="25"/>
      <c r="G98" s="24"/>
      <c r="H98" s="25"/>
      <c r="I98" s="25"/>
      <c r="J98" s="25"/>
      <c r="K98" s="25"/>
      <c r="L98" s="105"/>
      <c r="M98" s="105"/>
      <c r="N98" s="105"/>
      <c r="O98" s="4"/>
      <c r="P98" s="105"/>
      <c r="Q98" s="105"/>
      <c r="R98" s="26"/>
      <c r="S98" s="26"/>
      <c r="T98" s="4"/>
      <c r="U98" s="4"/>
      <c r="V98" s="4"/>
      <c r="W98" s="26"/>
      <c r="X98" s="179"/>
      <c r="Y98" s="179"/>
      <c r="Z98" s="4"/>
      <c r="AA98" s="116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>
      <c r="A99" s="4"/>
      <c r="B99" s="4"/>
      <c r="C99" s="24"/>
      <c r="D99" s="25"/>
      <c r="E99" s="25"/>
      <c r="F99" s="25"/>
      <c r="G99" s="24"/>
      <c r="H99" s="25"/>
      <c r="I99" s="25"/>
      <c r="J99" s="25"/>
      <c r="K99" s="25"/>
      <c r="L99" s="105"/>
      <c r="M99" s="105"/>
      <c r="N99" s="105"/>
      <c r="O99" s="4"/>
      <c r="P99" s="105"/>
      <c r="Q99" s="105"/>
      <c r="R99" s="26"/>
      <c r="S99" s="26"/>
      <c r="T99" s="4"/>
      <c r="U99" s="4"/>
      <c r="V99" s="4"/>
      <c r="W99" s="26"/>
      <c r="X99" s="179"/>
      <c r="Y99" s="179"/>
      <c r="Z99" s="4"/>
      <c r="AA99" s="116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>
      <c r="A100" s="4"/>
      <c r="B100" s="4"/>
      <c r="C100" s="24"/>
      <c r="D100" s="25"/>
      <c r="E100" s="25"/>
      <c r="F100" s="25"/>
      <c r="G100" s="24"/>
      <c r="H100" s="25"/>
      <c r="I100" s="25"/>
      <c r="J100" s="25"/>
      <c r="K100" s="25"/>
      <c r="L100" s="105"/>
      <c r="M100" s="105"/>
      <c r="N100" s="105"/>
      <c r="O100" s="4"/>
      <c r="P100" s="105"/>
      <c r="Q100" s="105"/>
      <c r="R100" s="26"/>
      <c r="S100" s="26"/>
      <c r="T100" s="4"/>
      <c r="U100" s="4"/>
      <c r="V100" s="4"/>
      <c r="W100" s="26"/>
      <c r="X100" s="179"/>
      <c r="Y100" s="179"/>
      <c r="Z100" s="4"/>
      <c r="AA100" s="116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>
      <c r="A101" s="4"/>
      <c r="B101" s="4"/>
      <c r="C101" s="24"/>
      <c r="D101" s="25"/>
      <c r="E101" s="25"/>
      <c r="F101" s="25"/>
      <c r="G101" s="24"/>
      <c r="H101" s="25"/>
      <c r="I101" s="25"/>
      <c r="J101" s="25"/>
      <c r="K101" s="25"/>
      <c r="L101" s="105"/>
      <c r="M101" s="105"/>
      <c r="N101" s="105"/>
      <c r="O101" s="4"/>
      <c r="P101" s="105"/>
      <c r="Q101" s="105"/>
      <c r="R101" s="26"/>
      <c r="S101" s="26"/>
      <c r="T101" s="4"/>
      <c r="U101" s="4"/>
      <c r="V101" s="4"/>
      <c r="W101" s="26"/>
      <c r="X101" s="179"/>
      <c r="Y101" s="179"/>
      <c r="Z101" s="4"/>
      <c r="AA101" s="116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>
      <c r="A102" s="4"/>
      <c r="B102" s="4"/>
      <c r="C102" s="24"/>
      <c r="D102" s="25"/>
      <c r="E102" s="25"/>
      <c r="F102" s="25"/>
      <c r="G102" s="24"/>
      <c r="H102" s="25"/>
      <c r="I102" s="25"/>
      <c r="J102" s="25"/>
      <c r="K102" s="25"/>
      <c r="L102" s="105"/>
      <c r="M102" s="105"/>
      <c r="N102" s="105"/>
      <c r="O102" s="4"/>
      <c r="P102" s="105"/>
      <c r="Q102" s="105"/>
      <c r="R102" s="26"/>
      <c r="S102" s="26"/>
      <c r="T102" s="4"/>
      <c r="U102" s="4"/>
      <c r="V102" s="4"/>
      <c r="W102" s="26"/>
      <c r="X102" s="179"/>
      <c r="Y102" s="179"/>
      <c r="Z102" s="4"/>
      <c r="AA102" s="116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>
      <c r="A103" s="4"/>
      <c r="B103" s="4"/>
      <c r="C103" s="24"/>
      <c r="D103" s="25"/>
      <c r="E103" s="25"/>
      <c r="F103" s="25"/>
      <c r="G103" s="24"/>
      <c r="H103" s="25"/>
      <c r="I103" s="25"/>
      <c r="J103" s="25"/>
      <c r="K103" s="25"/>
      <c r="L103" s="105"/>
      <c r="M103" s="105"/>
      <c r="N103" s="105"/>
      <c r="O103" s="4"/>
      <c r="P103" s="105"/>
      <c r="Q103" s="105"/>
      <c r="R103" s="26"/>
      <c r="S103" s="26"/>
      <c r="T103" s="4"/>
      <c r="U103" s="4"/>
      <c r="V103" s="4"/>
      <c r="W103" s="26"/>
      <c r="X103" s="179"/>
      <c r="Y103" s="179"/>
      <c r="Z103" s="4"/>
      <c r="AA103" s="116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>
      <c r="A104" s="4"/>
      <c r="B104" s="4"/>
      <c r="C104" s="24"/>
      <c r="D104" s="25"/>
      <c r="E104" s="25"/>
      <c r="F104" s="25"/>
      <c r="G104" s="24"/>
      <c r="H104" s="25"/>
      <c r="I104" s="25"/>
      <c r="J104" s="25"/>
      <c r="K104" s="25"/>
      <c r="L104" s="105"/>
      <c r="M104" s="105"/>
      <c r="N104" s="105"/>
      <c r="O104" s="4"/>
      <c r="P104" s="105"/>
      <c r="Q104" s="105"/>
      <c r="R104" s="26"/>
      <c r="S104" s="26"/>
      <c r="T104" s="4"/>
      <c r="U104" s="4"/>
      <c r="V104" s="4"/>
      <c r="W104" s="26"/>
      <c r="X104" s="179"/>
      <c r="Y104" s="179"/>
      <c r="Z104" s="4"/>
      <c r="AA104" s="116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>
      <c r="A105" s="4"/>
      <c r="B105" s="4"/>
      <c r="C105" s="24"/>
      <c r="D105" s="25"/>
      <c r="E105" s="25"/>
      <c r="F105" s="25"/>
      <c r="G105" s="24"/>
      <c r="H105" s="25"/>
      <c r="I105" s="25"/>
      <c r="J105" s="25"/>
      <c r="K105" s="25"/>
      <c r="L105" s="105"/>
      <c r="M105" s="105"/>
      <c r="N105" s="105"/>
      <c r="O105" s="4"/>
      <c r="P105" s="105"/>
      <c r="Q105" s="105"/>
      <c r="R105" s="26"/>
      <c r="S105" s="26"/>
      <c r="T105" s="4"/>
      <c r="U105" s="4"/>
      <c r="V105" s="4"/>
      <c r="W105" s="26"/>
      <c r="X105" s="179"/>
      <c r="Y105" s="179"/>
      <c r="Z105" s="4"/>
      <c r="AA105" s="116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>
      <c r="A106" s="4"/>
      <c r="B106" s="4"/>
      <c r="C106" s="24"/>
      <c r="D106" s="25"/>
      <c r="E106" s="24"/>
      <c r="F106" s="25"/>
      <c r="G106" s="24"/>
      <c r="H106" s="25"/>
      <c r="I106" s="4"/>
      <c r="J106" s="4"/>
      <c r="K106" s="25"/>
      <c r="L106" s="105"/>
      <c r="M106" s="105"/>
      <c r="N106" s="105"/>
      <c r="O106" s="4"/>
      <c r="P106" s="4"/>
      <c r="Q106" s="4"/>
      <c r="R106" s="26"/>
      <c r="S106" s="26"/>
      <c r="T106" s="4"/>
      <c r="U106" s="4"/>
      <c r="V106" s="4"/>
      <c r="W106" s="4"/>
      <c r="X106" s="4"/>
      <c r="Y106" s="4"/>
      <c r="Z106" s="4"/>
      <c r="AA106" s="116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>
      <c r="A115" s="4"/>
      <c r="B115" s="4"/>
      <c r="C115" s="24"/>
      <c r="D115" s="25"/>
      <c r="E115" s="25"/>
      <c r="F115" s="25"/>
      <c r="G115" s="24"/>
      <c r="H115" s="25"/>
      <c r="I115" s="25"/>
      <c r="J115" s="25"/>
      <c r="K115" s="26"/>
      <c r="L115" s="105"/>
      <c r="M115" s="105"/>
      <c r="N115" s="105"/>
      <c r="O115" s="4"/>
      <c r="P115" s="180"/>
      <c r="Q115" s="180"/>
      <c r="R115" s="26"/>
      <c r="S115" s="26"/>
      <c r="T115" s="4"/>
      <c r="U115" s="4"/>
      <c r="V115" s="4"/>
      <c r="W115" s="26"/>
      <c r="X115" s="179"/>
      <c r="Y115" s="179"/>
      <c r="Z115" s="26"/>
      <c r="AA115" s="116"/>
      <c r="AB115" s="4"/>
      <c r="AC115" s="4"/>
      <c r="AD115" s="4"/>
      <c r="AE115" s="123"/>
      <c r="AF115" s="123"/>
      <c r="AG115" s="123"/>
      <c r="AH115" s="123"/>
      <c r="AI115" s="123"/>
      <c r="AJ115" s="123"/>
      <c r="AK115" s="123"/>
      <c r="AL115" s="123"/>
      <c r="AM115" s="123"/>
      <c r="AN115" s="123"/>
      <c r="AO115" s="123"/>
      <c r="AP115" s="123"/>
    </row>
    <row r="116">
      <c r="A116" s="4"/>
      <c r="B116" s="4"/>
      <c r="C116" s="24"/>
      <c r="D116" s="25"/>
      <c r="E116" s="25"/>
      <c r="F116" s="25"/>
      <c r="G116" s="24"/>
      <c r="H116" s="25"/>
      <c r="I116" s="25"/>
      <c r="J116" s="25"/>
      <c r="K116" s="26"/>
      <c r="L116" s="105"/>
      <c r="M116" s="105"/>
      <c r="N116" s="105"/>
      <c r="O116" s="4"/>
      <c r="P116" s="180"/>
      <c r="Q116" s="180"/>
      <c r="R116" s="26"/>
      <c r="S116" s="26"/>
      <c r="T116" s="4"/>
      <c r="U116" s="4"/>
      <c r="V116" s="4"/>
      <c r="W116" s="26"/>
      <c r="X116" s="179"/>
      <c r="Y116" s="179"/>
      <c r="Z116" s="26"/>
      <c r="AA116" s="116"/>
      <c r="AB116" s="4"/>
      <c r="AC116" s="4"/>
      <c r="AD116" s="4"/>
      <c r="AE116" s="123"/>
      <c r="AF116" s="123"/>
      <c r="AG116" s="123"/>
      <c r="AH116" s="123"/>
      <c r="AI116" s="123"/>
      <c r="AJ116" s="123"/>
      <c r="AK116" s="123"/>
      <c r="AL116" s="123"/>
      <c r="AM116" s="123"/>
      <c r="AN116" s="123"/>
      <c r="AO116" s="123"/>
      <c r="AP116" s="123"/>
    </row>
    <row r="117">
      <c r="A117" s="4"/>
      <c r="B117" s="4"/>
      <c r="C117" s="24"/>
      <c r="D117" s="25"/>
      <c r="E117" s="25"/>
      <c r="F117" s="25"/>
      <c r="G117" s="24"/>
      <c r="H117" s="25"/>
      <c r="I117" s="25"/>
      <c r="J117" s="25"/>
      <c r="K117" s="26"/>
      <c r="L117" s="105"/>
      <c r="M117" s="105"/>
      <c r="N117" s="105"/>
      <c r="O117" s="4"/>
      <c r="P117" s="180"/>
      <c r="Q117" s="180"/>
      <c r="R117" s="26"/>
      <c r="S117" s="26"/>
      <c r="T117" s="4"/>
      <c r="U117" s="4"/>
      <c r="V117" s="4"/>
      <c r="W117" s="26"/>
      <c r="X117" s="179"/>
      <c r="Y117" s="179"/>
      <c r="Z117" s="26"/>
      <c r="AA117" s="116"/>
      <c r="AB117" s="4"/>
      <c r="AC117" s="4"/>
      <c r="AD117" s="4"/>
      <c r="AE117" s="123"/>
      <c r="AF117" s="123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>
      <c r="A118" s="4"/>
      <c r="B118" s="4"/>
      <c r="C118" s="24"/>
      <c r="D118" s="25"/>
      <c r="E118" s="25"/>
      <c r="F118" s="25"/>
      <c r="G118" s="24"/>
      <c r="H118" s="25"/>
      <c r="I118" s="25"/>
      <c r="J118" s="25"/>
      <c r="K118" s="26"/>
      <c r="L118" s="105"/>
      <c r="M118" s="105"/>
      <c r="N118" s="105"/>
      <c r="O118" s="4"/>
      <c r="P118" s="180"/>
      <c r="Q118" s="180"/>
      <c r="R118" s="26"/>
      <c r="S118" s="26"/>
      <c r="T118" s="4"/>
      <c r="U118" s="4"/>
      <c r="V118" s="4"/>
      <c r="W118" s="26"/>
      <c r="X118" s="179"/>
      <c r="Y118" s="179"/>
      <c r="Z118" s="26"/>
      <c r="AA118" s="116"/>
      <c r="AB118" s="4"/>
      <c r="AC118" s="4"/>
      <c r="AD118" s="4"/>
      <c r="AE118" s="123"/>
      <c r="AF118" s="123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>
      <c r="A119" s="4"/>
      <c r="B119" s="4"/>
      <c r="C119" s="24"/>
      <c r="D119" s="25"/>
      <c r="E119" s="25"/>
      <c r="F119" s="25"/>
      <c r="G119" s="24"/>
      <c r="H119" s="25"/>
      <c r="I119" s="25"/>
      <c r="J119" s="25"/>
      <c r="K119" s="26"/>
      <c r="L119" s="105"/>
      <c r="M119" s="105"/>
      <c r="N119" s="105"/>
      <c r="O119" s="4"/>
      <c r="P119" s="180"/>
      <c r="Q119" s="180"/>
      <c r="R119" s="26"/>
      <c r="S119" s="26"/>
      <c r="T119" s="4"/>
      <c r="U119" s="4"/>
      <c r="V119" s="4"/>
      <c r="W119" s="26"/>
      <c r="X119" s="179"/>
      <c r="Y119" s="179"/>
      <c r="Z119" s="26"/>
      <c r="AA119" s="116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>
      <c r="A120" s="4"/>
      <c r="B120" s="4"/>
      <c r="C120" s="24"/>
      <c r="D120" s="25"/>
      <c r="E120" s="25"/>
      <c r="F120" s="25"/>
      <c r="G120" s="24"/>
      <c r="H120" s="25"/>
      <c r="I120" s="25"/>
      <c r="J120" s="25"/>
      <c r="K120" s="26"/>
      <c r="L120" s="105"/>
      <c r="M120" s="105"/>
      <c r="N120" s="105"/>
      <c r="O120" s="4"/>
      <c r="P120" s="180"/>
      <c r="Q120" s="180"/>
      <c r="R120" s="26"/>
      <c r="S120" s="26"/>
      <c r="T120" s="4"/>
      <c r="U120" s="4"/>
      <c r="V120" s="4"/>
      <c r="W120" s="26"/>
      <c r="X120" s="179"/>
      <c r="Y120" s="179"/>
      <c r="Z120" s="26"/>
      <c r="AA120" s="116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>
      <c r="A121" s="4"/>
      <c r="B121" s="4"/>
      <c r="C121" s="24"/>
      <c r="D121" s="25"/>
      <c r="E121" s="25"/>
      <c r="F121" s="25"/>
      <c r="G121" s="24"/>
      <c r="H121" s="25"/>
      <c r="I121" s="25"/>
      <c r="J121" s="25"/>
      <c r="K121" s="26"/>
      <c r="L121" s="105"/>
      <c r="M121" s="105"/>
      <c r="N121" s="105"/>
      <c r="O121" s="4"/>
      <c r="P121" s="180"/>
      <c r="Q121" s="180"/>
      <c r="R121" s="26"/>
      <c r="S121" s="26"/>
      <c r="T121" s="4"/>
      <c r="U121" s="4"/>
      <c r="V121" s="4"/>
      <c r="W121" s="26"/>
      <c r="X121" s="179"/>
      <c r="Y121" s="179"/>
      <c r="Z121" s="26"/>
      <c r="AA121" s="116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>
      <c r="A122" s="4"/>
      <c r="B122" s="4"/>
      <c r="C122" s="24"/>
      <c r="D122" s="25"/>
      <c r="E122" s="25"/>
      <c r="F122" s="25"/>
      <c r="G122" s="24"/>
      <c r="H122" s="25"/>
      <c r="I122" s="25"/>
      <c r="J122" s="25"/>
      <c r="K122" s="26"/>
      <c r="L122" s="105"/>
      <c r="M122" s="105"/>
      <c r="N122" s="105"/>
      <c r="O122" s="4"/>
      <c r="P122" s="180"/>
      <c r="Q122" s="180"/>
      <c r="R122" s="26"/>
      <c r="S122" s="26"/>
      <c r="T122" s="4"/>
      <c r="U122" s="4"/>
      <c r="V122" s="4"/>
      <c r="W122" s="26"/>
      <c r="X122" s="179"/>
      <c r="Y122" s="179"/>
      <c r="Z122" s="26"/>
      <c r="AA122" s="116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>
      <c r="A123" s="4"/>
      <c r="B123" s="4"/>
      <c r="C123" s="24"/>
      <c r="D123" s="25"/>
      <c r="E123" s="25"/>
      <c r="F123" s="25"/>
      <c r="G123" s="24"/>
      <c r="H123" s="25"/>
      <c r="I123" s="25"/>
      <c r="J123" s="25"/>
      <c r="K123" s="26"/>
      <c r="L123" s="105"/>
      <c r="M123" s="105"/>
      <c r="N123" s="105"/>
      <c r="O123" s="4"/>
      <c r="P123" s="180"/>
      <c r="Q123" s="180"/>
      <c r="R123" s="26"/>
      <c r="S123" s="26"/>
      <c r="T123" s="4"/>
      <c r="U123" s="4"/>
      <c r="V123" s="4"/>
      <c r="W123" s="26"/>
      <c r="X123" s="179"/>
      <c r="Y123" s="179"/>
      <c r="Z123" s="26"/>
      <c r="AA123" s="116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>
      <c r="A124" s="4"/>
      <c r="B124" s="4"/>
      <c r="C124" s="24"/>
      <c r="D124" s="25"/>
      <c r="E124" s="25"/>
      <c r="F124" s="25"/>
      <c r="G124" s="24"/>
      <c r="H124" s="25"/>
      <c r="I124" s="25"/>
      <c r="J124" s="25"/>
      <c r="K124" s="26"/>
      <c r="L124" s="105"/>
      <c r="M124" s="105"/>
      <c r="N124" s="105"/>
      <c r="O124" s="4"/>
      <c r="P124" s="180"/>
      <c r="Q124" s="180"/>
      <c r="R124" s="26"/>
      <c r="S124" s="26"/>
      <c r="T124" s="4"/>
      <c r="U124" s="4"/>
      <c r="V124" s="4"/>
      <c r="W124" s="26"/>
      <c r="X124" s="179"/>
      <c r="Y124" s="179"/>
      <c r="Z124" s="26"/>
      <c r="AA124" s="116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>
      <c r="A125" s="4"/>
      <c r="B125" s="4"/>
      <c r="C125" s="24"/>
      <c r="D125" s="25"/>
      <c r="E125" s="25"/>
      <c r="F125" s="25"/>
      <c r="G125" s="24"/>
      <c r="H125" s="25"/>
      <c r="I125" s="25"/>
      <c r="J125" s="25"/>
      <c r="K125" s="26"/>
      <c r="L125" s="105"/>
      <c r="M125" s="105"/>
      <c r="N125" s="105"/>
      <c r="O125" s="4"/>
      <c r="P125" s="180"/>
      <c r="Q125" s="180"/>
      <c r="R125" s="26"/>
      <c r="S125" s="26"/>
      <c r="T125" s="4"/>
      <c r="U125" s="4"/>
      <c r="V125" s="4"/>
      <c r="W125" s="26"/>
      <c r="X125" s="179"/>
      <c r="Y125" s="179"/>
      <c r="Z125" s="26"/>
      <c r="AA125" s="116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>
      <c r="A126" s="4"/>
      <c r="B126" s="4"/>
      <c r="C126" s="24"/>
      <c r="D126" s="25"/>
      <c r="E126" s="25"/>
      <c r="F126" s="25"/>
      <c r="G126" s="24"/>
      <c r="H126" s="25"/>
      <c r="I126" s="25"/>
      <c r="J126" s="25"/>
      <c r="K126" s="26"/>
      <c r="L126" s="105"/>
      <c r="M126" s="105"/>
      <c r="N126" s="105"/>
      <c r="O126" s="4"/>
      <c r="P126" s="180"/>
      <c r="Q126" s="180"/>
      <c r="R126" s="26"/>
      <c r="S126" s="26"/>
      <c r="T126" s="4"/>
      <c r="U126" s="4"/>
      <c r="V126" s="4"/>
      <c r="W126" s="26"/>
      <c r="X126" s="179"/>
      <c r="Y126" s="179"/>
      <c r="Z126" s="26"/>
      <c r="AA126" s="116"/>
      <c r="AB126" s="4"/>
      <c r="AC126" s="4"/>
      <c r="AD126" s="4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</row>
    <row r="127">
      <c r="A127" s="4"/>
      <c r="B127" s="4"/>
      <c r="C127" s="24"/>
      <c r="D127" s="25"/>
      <c r="E127" s="25"/>
      <c r="F127" s="25"/>
      <c r="G127" s="24"/>
      <c r="H127" s="25"/>
      <c r="I127" s="25"/>
      <c r="J127" s="25"/>
      <c r="K127" s="26"/>
      <c r="L127" s="105"/>
      <c r="M127" s="105"/>
      <c r="N127" s="105"/>
      <c r="O127" s="4"/>
      <c r="P127" s="180"/>
      <c r="Q127" s="180"/>
      <c r="R127" s="26"/>
      <c r="S127" s="26"/>
      <c r="T127" s="4"/>
      <c r="U127" s="4"/>
      <c r="V127" s="4"/>
      <c r="W127" s="26"/>
      <c r="X127" s="179"/>
      <c r="Y127" s="179"/>
      <c r="Z127" s="26"/>
      <c r="AA127" s="116"/>
      <c r="AB127" s="4"/>
      <c r="AC127" s="4"/>
      <c r="AD127" s="4"/>
      <c r="AE127" s="123"/>
      <c r="AF127" s="123"/>
      <c r="AG127" s="123"/>
      <c r="AH127" s="123"/>
      <c r="AI127" s="123"/>
      <c r="AJ127" s="123"/>
      <c r="AK127" s="123"/>
      <c r="AL127" s="123"/>
      <c r="AM127" s="123"/>
      <c r="AN127" s="123"/>
      <c r="AO127" s="123"/>
      <c r="AP127" s="123"/>
    </row>
    <row r="128">
      <c r="A128" s="4"/>
      <c r="B128" s="4"/>
      <c r="C128" s="24"/>
      <c r="D128" s="25"/>
      <c r="E128" s="25"/>
      <c r="F128" s="25"/>
      <c r="G128" s="24"/>
      <c r="H128" s="25"/>
      <c r="I128" s="25"/>
      <c r="J128" s="25"/>
      <c r="K128" s="26"/>
      <c r="L128" s="105"/>
      <c r="M128" s="105"/>
      <c r="N128" s="105"/>
      <c r="O128" s="4"/>
      <c r="P128" s="180"/>
      <c r="Q128" s="180"/>
      <c r="R128" s="26"/>
      <c r="S128" s="26"/>
      <c r="T128" s="4"/>
      <c r="U128" s="4"/>
      <c r="V128" s="4"/>
      <c r="W128" s="26"/>
      <c r="X128" s="179"/>
      <c r="Y128" s="179"/>
      <c r="Z128" s="26"/>
      <c r="AA128" s="116"/>
      <c r="AB128" s="4"/>
      <c r="AC128" s="4"/>
      <c r="AD128" s="4"/>
      <c r="AE128" s="123"/>
      <c r="AF128" s="123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>
      <c r="A129" s="4"/>
      <c r="B129" s="4"/>
      <c r="C129" s="24"/>
      <c r="D129" s="25"/>
      <c r="E129" s="25"/>
      <c r="F129" s="25"/>
      <c r="G129" s="24"/>
      <c r="H129" s="25"/>
      <c r="I129" s="25"/>
      <c r="J129" s="25"/>
      <c r="K129" s="26"/>
      <c r="L129" s="105"/>
      <c r="M129" s="105"/>
      <c r="N129" s="105"/>
      <c r="O129" s="4"/>
      <c r="P129" s="180"/>
      <c r="Q129" s="180"/>
      <c r="R129" s="26"/>
      <c r="S129" s="26"/>
      <c r="T129" s="4"/>
      <c r="U129" s="4"/>
      <c r="V129" s="4"/>
      <c r="W129" s="26"/>
      <c r="X129" s="179"/>
      <c r="Y129" s="179"/>
      <c r="Z129" s="26"/>
      <c r="AA129" s="116"/>
      <c r="AB129" s="4"/>
      <c r="AC129" s="4"/>
      <c r="AD129" s="4"/>
      <c r="AE129" s="123"/>
      <c r="AF129" s="123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>
      <c r="A130" s="4"/>
      <c r="B130" s="4"/>
      <c r="C130" s="24"/>
      <c r="D130" s="25"/>
      <c r="E130" s="25"/>
      <c r="F130" s="25"/>
      <c r="G130" s="24"/>
      <c r="H130" s="25"/>
      <c r="I130" s="25"/>
      <c r="J130" s="25"/>
      <c r="K130" s="25"/>
      <c r="L130" s="105"/>
      <c r="M130" s="105"/>
      <c r="N130" s="105"/>
      <c r="O130" s="4"/>
      <c r="P130" s="180"/>
      <c r="Q130" s="180"/>
      <c r="R130" s="26"/>
      <c r="S130" s="26"/>
      <c r="T130" s="4"/>
      <c r="U130" s="4"/>
      <c r="V130" s="4"/>
      <c r="W130" s="26"/>
      <c r="X130" s="179"/>
      <c r="Y130" s="179"/>
      <c r="Z130" s="4"/>
      <c r="AA130" s="116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>
      <c r="A131" s="4"/>
      <c r="B131" s="4"/>
      <c r="C131" s="24"/>
      <c r="D131" s="25"/>
      <c r="E131" s="25"/>
      <c r="F131" s="25"/>
      <c r="G131" s="24"/>
      <c r="H131" s="25"/>
      <c r="I131" s="25"/>
      <c r="J131" s="25"/>
      <c r="K131" s="25"/>
      <c r="L131" s="105"/>
      <c r="M131" s="105"/>
      <c r="N131" s="105"/>
      <c r="O131" s="4"/>
      <c r="P131" s="180"/>
      <c r="Q131" s="180"/>
      <c r="R131" s="26"/>
      <c r="S131" s="26"/>
      <c r="T131" s="4"/>
      <c r="U131" s="4"/>
      <c r="V131" s="4"/>
      <c r="W131" s="26"/>
      <c r="X131" s="179"/>
      <c r="Y131" s="179"/>
      <c r="Z131" s="4"/>
      <c r="AA131" s="116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>
      <c r="A132" s="4"/>
      <c r="B132" s="4"/>
      <c r="C132" s="24"/>
      <c r="D132" s="25"/>
      <c r="E132" s="25"/>
      <c r="F132" s="25"/>
      <c r="G132" s="24"/>
      <c r="H132" s="25"/>
      <c r="I132" s="25"/>
      <c r="J132" s="25"/>
      <c r="K132" s="25"/>
      <c r="L132" s="105"/>
      <c r="M132" s="105"/>
      <c r="N132" s="105"/>
      <c r="O132" s="4"/>
      <c r="P132" s="180"/>
      <c r="Q132" s="180"/>
      <c r="R132" s="26"/>
      <c r="S132" s="26"/>
      <c r="T132" s="4"/>
      <c r="U132" s="4"/>
      <c r="V132" s="4"/>
      <c r="W132" s="26"/>
      <c r="X132" s="179"/>
      <c r="Y132" s="179"/>
      <c r="Z132" s="4"/>
      <c r="AA132" s="116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>
      <c r="A133" s="4"/>
      <c r="B133" s="4"/>
      <c r="C133" s="24"/>
      <c r="D133" s="25"/>
      <c r="E133" s="25"/>
      <c r="F133" s="25"/>
      <c r="G133" s="24"/>
      <c r="H133" s="25"/>
      <c r="I133" s="25"/>
      <c r="J133" s="25"/>
      <c r="K133" s="25"/>
      <c r="L133" s="105"/>
      <c r="M133" s="105"/>
      <c r="N133" s="105"/>
      <c r="O133" s="4"/>
      <c r="P133" s="180"/>
      <c r="Q133" s="180"/>
      <c r="R133" s="26"/>
      <c r="S133" s="26"/>
      <c r="T133" s="4"/>
      <c r="U133" s="4"/>
      <c r="V133" s="4"/>
      <c r="W133" s="26"/>
      <c r="X133" s="179"/>
      <c r="Y133" s="179"/>
      <c r="Z133" s="4"/>
      <c r="AA133" s="116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>
      <c r="A134" s="4"/>
      <c r="B134" s="4"/>
      <c r="C134" s="24"/>
      <c r="D134" s="25"/>
      <c r="E134" s="25"/>
      <c r="F134" s="25"/>
      <c r="G134" s="24"/>
      <c r="H134" s="25"/>
      <c r="I134" s="25"/>
      <c r="J134" s="25"/>
      <c r="K134" s="25"/>
      <c r="L134" s="105"/>
      <c r="M134" s="105"/>
      <c r="N134" s="105"/>
      <c r="O134" s="4"/>
      <c r="P134" s="180"/>
      <c r="Q134" s="180"/>
      <c r="R134" s="26"/>
      <c r="S134" s="26"/>
      <c r="T134" s="4"/>
      <c r="U134" s="4"/>
      <c r="V134" s="4"/>
      <c r="W134" s="26"/>
      <c r="X134" s="179"/>
      <c r="Y134" s="179"/>
      <c r="Z134" s="4"/>
      <c r="AA134" s="116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>
      <c r="A135" s="4"/>
      <c r="B135" s="4"/>
      <c r="C135" s="24"/>
      <c r="D135" s="25"/>
      <c r="E135" s="25"/>
      <c r="F135" s="25"/>
      <c r="G135" s="24"/>
      <c r="H135" s="25"/>
      <c r="I135" s="25"/>
      <c r="J135" s="25"/>
      <c r="K135" s="25"/>
      <c r="L135" s="105"/>
      <c r="M135" s="105"/>
      <c r="N135" s="105"/>
      <c r="O135" s="4"/>
      <c r="P135" s="180"/>
      <c r="Q135" s="180"/>
      <c r="R135" s="26"/>
      <c r="S135" s="26"/>
      <c r="T135" s="4"/>
      <c r="U135" s="4"/>
      <c r="V135" s="4"/>
      <c r="W135" s="26"/>
      <c r="X135" s="179"/>
      <c r="Y135" s="179"/>
      <c r="Z135" s="4"/>
      <c r="AA135" s="116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>
      <c r="A136" s="4"/>
      <c r="B136" s="4"/>
      <c r="C136" s="24"/>
      <c r="D136" s="25"/>
      <c r="E136" s="25"/>
      <c r="F136" s="25"/>
      <c r="G136" s="24"/>
      <c r="H136" s="25"/>
      <c r="I136" s="25"/>
      <c r="J136" s="25"/>
      <c r="K136" s="25"/>
      <c r="L136" s="105"/>
      <c r="M136" s="105"/>
      <c r="N136" s="105"/>
      <c r="O136" s="4"/>
      <c r="P136" s="180"/>
      <c r="Q136" s="180"/>
      <c r="R136" s="26"/>
      <c r="S136" s="26"/>
      <c r="T136" s="4"/>
      <c r="U136" s="4"/>
      <c r="V136" s="4"/>
      <c r="W136" s="26"/>
      <c r="X136" s="179"/>
      <c r="Y136" s="179"/>
      <c r="Z136" s="4"/>
      <c r="AA136" s="116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>
      <c r="A137" s="4"/>
      <c r="B137" s="4"/>
      <c r="C137" s="24"/>
      <c r="D137" s="25"/>
      <c r="E137" s="25"/>
      <c r="F137" s="25"/>
      <c r="G137" s="24"/>
      <c r="H137" s="25"/>
      <c r="I137" s="25"/>
      <c r="J137" s="25"/>
      <c r="K137" s="25"/>
      <c r="L137" s="105"/>
      <c r="M137" s="105"/>
      <c r="N137" s="105"/>
      <c r="O137" s="4"/>
      <c r="P137" s="180"/>
      <c r="Q137" s="180"/>
      <c r="R137" s="26"/>
      <c r="S137" s="26"/>
      <c r="T137" s="4"/>
      <c r="U137" s="4"/>
      <c r="V137" s="4"/>
      <c r="W137" s="26"/>
      <c r="X137" s="179"/>
      <c r="Y137" s="179"/>
      <c r="Z137" s="4"/>
      <c r="AA137" s="116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>
      <c r="A138" s="4"/>
      <c r="B138" s="4"/>
      <c r="C138" s="24"/>
      <c r="D138" s="25"/>
      <c r="E138" s="25"/>
      <c r="F138" s="25"/>
      <c r="G138" s="24"/>
      <c r="H138" s="25"/>
      <c r="I138" s="25"/>
      <c r="J138" s="25"/>
      <c r="K138" s="25"/>
      <c r="L138" s="105"/>
      <c r="M138" s="105"/>
      <c r="N138" s="105"/>
      <c r="O138" s="4"/>
      <c r="P138" s="180"/>
      <c r="Q138" s="180"/>
      <c r="R138" s="26"/>
      <c r="S138" s="26"/>
      <c r="T138" s="4"/>
      <c r="U138" s="4"/>
      <c r="V138" s="4"/>
      <c r="W138" s="26"/>
      <c r="X138" s="179"/>
      <c r="Y138" s="179"/>
      <c r="Z138" s="4"/>
      <c r="AA138" s="116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>
      <c r="A139" s="4"/>
      <c r="B139" s="4"/>
      <c r="C139" s="24"/>
      <c r="D139" s="25"/>
      <c r="E139" s="25"/>
      <c r="F139" s="25"/>
      <c r="G139" s="24"/>
      <c r="H139" s="25"/>
      <c r="I139" s="25"/>
      <c r="J139" s="25"/>
      <c r="K139" s="25"/>
      <c r="L139" s="105"/>
      <c r="M139" s="105"/>
      <c r="N139" s="105"/>
      <c r="O139" s="4"/>
      <c r="P139" s="180"/>
      <c r="Q139" s="180"/>
      <c r="R139" s="26"/>
      <c r="S139" s="26"/>
      <c r="T139" s="4"/>
      <c r="U139" s="4"/>
      <c r="V139" s="4"/>
      <c r="W139" s="26"/>
      <c r="X139" s="179"/>
      <c r="Y139" s="179"/>
      <c r="Z139" s="4"/>
      <c r="AA139" s="116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>
      <c r="A140" s="4"/>
      <c r="B140" s="4"/>
      <c r="C140" s="24"/>
      <c r="D140" s="25"/>
      <c r="E140" s="25"/>
      <c r="F140" s="25"/>
      <c r="G140" s="24"/>
      <c r="H140" s="25"/>
      <c r="I140" s="25"/>
      <c r="J140" s="25"/>
      <c r="K140" s="25"/>
      <c r="L140" s="105"/>
      <c r="M140" s="105"/>
      <c r="N140" s="105"/>
      <c r="O140" s="4"/>
      <c r="P140" s="180"/>
      <c r="Q140" s="180"/>
      <c r="R140" s="26"/>
      <c r="S140" s="26"/>
      <c r="T140" s="4"/>
      <c r="U140" s="4"/>
      <c r="V140" s="4"/>
      <c r="W140" s="26"/>
      <c r="X140" s="179"/>
      <c r="Y140" s="179"/>
      <c r="Z140" s="4"/>
      <c r="AA140" s="116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>
      <c r="A141" s="4"/>
      <c r="B141" s="4"/>
      <c r="C141" s="24"/>
      <c r="D141" s="25"/>
      <c r="E141" s="24"/>
      <c r="F141" s="25"/>
      <c r="G141" s="24"/>
      <c r="H141" s="25"/>
      <c r="I141" s="4"/>
      <c r="J141" s="4"/>
      <c r="K141" s="25"/>
      <c r="L141" s="105"/>
      <c r="M141" s="105"/>
      <c r="N141" s="105"/>
      <c r="O141" s="4"/>
      <c r="P141" s="4"/>
      <c r="Q141" s="4"/>
      <c r="R141" s="26"/>
      <c r="S141" s="26"/>
      <c r="T141" s="4"/>
      <c r="U141" s="4"/>
      <c r="V141" s="4"/>
      <c r="W141" s="4"/>
      <c r="X141" s="4"/>
      <c r="Y141" s="4"/>
      <c r="Z141" s="4"/>
      <c r="AA141" s="116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>
      <c r="A156" s="4"/>
      <c r="B156" s="4"/>
      <c r="C156" s="4"/>
      <c r="D156" s="4"/>
      <c r="E156" s="4"/>
      <c r="F156" s="4"/>
      <c r="G156" s="4"/>
      <c r="H156" s="2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>
      <c r="A160" s="4"/>
      <c r="B160" s="4"/>
      <c r="C160" s="4"/>
      <c r="D160" s="4"/>
      <c r="E160" s="4"/>
      <c r="F160" s="4"/>
      <c r="G160" s="4"/>
      <c r="H160" s="2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>
      <c r="A165" s="4"/>
      <c r="B165" s="4"/>
      <c r="C165" s="4"/>
      <c r="D165" s="4"/>
      <c r="E165" s="4"/>
      <c r="F165" s="4"/>
      <c r="G165" s="4"/>
      <c r="H165" s="2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>
      <c r="A167" s="4"/>
      <c r="B167" s="4"/>
      <c r="C167" s="4"/>
      <c r="D167" s="4"/>
      <c r="E167" s="2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>
      <c r="A168" s="4"/>
      <c r="B168" s="4"/>
      <c r="C168" s="4"/>
      <c r="D168" s="4"/>
      <c r="E168" s="4"/>
      <c r="F168" s="4"/>
      <c r="G168" s="4"/>
      <c r="H168" s="2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>
      <c r="A169" s="4"/>
      <c r="B169" s="4"/>
      <c r="C169" s="4"/>
      <c r="D169" s="4"/>
      <c r="E169" s="4"/>
      <c r="F169" s="4"/>
      <c r="G169" s="4"/>
      <c r="H169" s="2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>
      <c r="A172" s="4"/>
      <c r="B172" s="4"/>
      <c r="C172" s="4"/>
      <c r="D172" s="4"/>
      <c r="E172" s="2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>
      <c r="A173" s="4"/>
      <c r="B173" s="4"/>
      <c r="C173" s="4"/>
      <c r="D173" s="4"/>
      <c r="E173" s="4"/>
      <c r="F173" s="4"/>
      <c r="G173" s="4"/>
      <c r="H173" s="2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>
      <c r="A177" s="4"/>
      <c r="B177" s="4"/>
      <c r="C177" s="4"/>
      <c r="D177" s="4"/>
      <c r="E177" s="4"/>
      <c r="F177" s="4"/>
      <c r="G177" s="4"/>
      <c r="H177" s="2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</sheetData>
  <mergeCells count="11">
    <mergeCell ref="AP7:AZ8"/>
    <mergeCell ref="L9:O9"/>
    <mergeCell ref="P9:T9"/>
    <mergeCell ref="U9:W9"/>
    <mergeCell ref="AP11:AR11"/>
    <mergeCell ref="AT11:AV11"/>
    <mergeCell ref="AX11:AZ11"/>
    <mergeCell ref="G16:G17"/>
    <mergeCell ref="Z16:Z17"/>
    <mergeCell ref="L47:O47"/>
    <mergeCell ref="P47:R47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2026-04-15T09:44:05Z</dcterms:modified>
</cp:coreProperties>
</file>